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1" codeName="{00000000-0000-0000-0000-000000000000}"/>
  <workbookPr codeName="DieseArbeitsmappe"/>
  <mc:AlternateContent xmlns:mc="http://schemas.openxmlformats.org/markup-compatibility/2006">
    <mc:Choice Requires="x15">
      <x15ac:absPath xmlns:x15ac="http://schemas.microsoft.com/office/spreadsheetml/2010/11/ac" url="https://intranet.volvocars.net/sites/BPAProductOffer/Shared Documents/General/"/>
    </mc:Choice>
  </mc:AlternateContent>
  <xr:revisionPtr revIDLastSave="79" documentId="13_ncr:1_{68D936E4-6581-47A4-8CBE-0347EA43DBBA}" xr6:coauthVersionLast="47" xr6:coauthVersionMax="47" xr10:uidLastSave="{96365228-976B-4EAB-B46B-880E72677B15}"/>
  <bookViews>
    <workbookView xWindow="-120" yWindow="-120" windowWidth="29040" windowHeight="15840" firstSheet="3" activeTab="6" xr2:uid="{00000000-000D-0000-FFFF-FFFF00000000}"/>
  </bookViews>
  <sheets>
    <sheet name="Bestellcodes" sheetId="1" r:id="rId1"/>
    <sheet name="Typ" sheetId="2" r:id="rId2"/>
    <sheet name="Motor" sheetId="3" r:id="rId3"/>
    <sheet name="Getriebe" sheetId="5" r:id="rId4"/>
    <sheet name="Ausstattungslinie" sheetId="4" r:id="rId5"/>
    <sheet name="Manual" sheetId="6" r:id="rId6"/>
    <sheet name="Ausstattungslinie (2)" sheetId="7" r:id="rId7"/>
  </sheets>
  <definedNames>
    <definedName name="_xlnm._FilterDatabase" localSheetId="4" hidden="1">Ausstattungslinie!$A$1:$D$118</definedName>
    <definedName name="_xlnm._FilterDatabase" localSheetId="6" hidden="1">'Ausstattungslinie (2)'!$B$1:$D$118</definedName>
    <definedName name="_xlnm._FilterDatabase" localSheetId="0" hidden="1">Bestellcodes!$A$3:$P$99</definedName>
    <definedName name="_xlnm._FilterDatabase" localSheetId="2" hidden="1">Motor!$A$1:$B$1</definedName>
    <definedName name="_xlnm.Print_Titles" localSheetId="0">Bestellcodes!$A:$D,Bestellcodes!$3:$3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7" l="1"/>
  <c r="C5" i="7"/>
  <c r="C7" i="7"/>
  <c r="C6" i="7"/>
  <c r="C8" i="7"/>
  <c r="C9" i="7"/>
  <c r="C10" i="7"/>
  <c r="C11" i="7"/>
  <c r="C29" i="7"/>
  <c r="C73" i="7"/>
  <c r="C74" i="7"/>
  <c r="C75" i="7"/>
  <c r="C76" i="7"/>
  <c r="C79" i="7"/>
  <c r="C81" i="7"/>
  <c r="C44" i="7"/>
  <c r="C77" i="7"/>
  <c r="C2" i="7"/>
  <c r="C12" i="7"/>
  <c r="C16" i="7"/>
  <c r="C17" i="7"/>
  <c r="C18" i="7"/>
  <c r="C19" i="7"/>
  <c r="C30" i="7"/>
  <c r="C70" i="7"/>
  <c r="C39" i="7"/>
  <c r="C40" i="7"/>
  <c r="C41" i="7"/>
  <c r="C55" i="7"/>
  <c r="C103" i="7"/>
  <c r="C49" i="7"/>
  <c r="C56" i="7"/>
  <c r="C104" i="7"/>
  <c r="C50" i="7"/>
  <c r="C57" i="7"/>
  <c r="C105" i="7"/>
  <c r="C51" i="7"/>
  <c r="C106" i="7"/>
  <c r="C52" i="7"/>
  <c r="C68" i="7"/>
  <c r="C109" i="7"/>
  <c r="C67" i="7"/>
  <c r="C58" i="7"/>
  <c r="C107" i="7"/>
  <c r="C53" i="7"/>
  <c r="C59" i="7"/>
  <c r="C108" i="7"/>
  <c r="C54" i="7"/>
  <c r="C42" i="7"/>
  <c r="C43" i="7"/>
  <c r="C91" i="7"/>
  <c r="C92" i="7"/>
  <c r="C82" i="7"/>
  <c r="C80" i="7"/>
  <c r="C83" i="7"/>
  <c r="C45" i="7"/>
  <c r="C61" i="7"/>
  <c r="C111" i="7"/>
  <c r="C23" i="7"/>
  <c r="C85" i="7"/>
  <c r="C46" i="7"/>
  <c r="C112" i="7"/>
  <c r="C62" i="7"/>
  <c r="C86" i="7"/>
  <c r="C24" i="7"/>
  <c r="C47" i="7"/>
  <c r="C113" i="7"/>
  <c r="C63" i="7"/>
  <c r="C87" i="7"/>
  <c r="C25" i="7"/>
  <c r="C60" i="7"/>
  <c r="C114" i="7"/>
  <c r="C64" i="7"/>
  <c r="C20" i="7"/>
  <c r="C88" i="7"/>
  <c r="C26" i="7"/>
  <c r="C48" i="7"/>
  <c r="C115" i="7"/>
  <c r="C65" i="7"/>
  <c r="C89" i="7"/>
  <c r="C27" i="7"/>
  <c r="C116" i="7"/>
  <c r="C66" i="7"/>
  <c r="C90" i="7"/>
  <c r="C28" i="7"/>
  <c r="C117" i="7"/>
  <c r="C69" i="7"/>
  <c r="C93" i="7"/>
  <c r="C31" i="7"/>
  <c r="C37" i="7"/>
  <c r="C110" i="7"/>
  <c r="C118" i="7"/>
  <c r="C84" i="7"/>
  <c r="C94" i="7"/>
  <c r="C95" i="7"/>
  <c r="C97" i="7"/>
  <c r="C102" i="7"/>
  <c r="C96" i="7"/>
  <c r="C100" i="7"/>
  <c r="C99" i="7"/>
  <c r="C98" i="7"/>
  <c r="C101" i="7"/>
  <c r="C14" i="7"/>
  <c r="C15" i="7"/>
  <c r="C22" i="7"/>
  <c r="C33" i="7"/>
  <c r="C34" i="7"/>
  <c r="C36" i="7"/>
  <c r="C38" i="7"/>
  <c r="C13" i="7"/>
  <c r="C32" i="7"/>
  <c r="C35" i="7"/>
  <c r="C21" i="7"/>
  <c r="C71" i="7"/>
  <c r="C78" i="7"/>
  <c r="C72" i="7"/>
  <c r="C4" i="7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B118" i="4" l="1"/>
  <c r="B117" i="4"/>
  <c r="B115" i="4"/>
  <c r="B116" i="4"/>
  <c r="L9" i="1" l="1"/>
  <c r="O9" i="1" s="1"/>
  <c r="B12" i="4"/>
  <c r="B114" i="4"/>
  <c r="B113" i="4"/>
  <c r="B112" i="4"/>
  <c r="B105" i="4"/>
  <c r="B106" i="4"/>
  <c r="B107" i="4"/>
  <c r="B108" i="4"/>
  <c r="B109" i="4"/>
  <c r="B110" i="4"/>
  <c r="B111" i="4"/>
  <c r="J54" i="1"/>
  <c r="J27" i="1"/>
  <c r="L27" i="1"/>
  <c r="M27" i="1"/>
  <c r="N27" i="1"/>
  <c r="J28" i="1"/>
  <c r="L28" i="1"/>
  <c r="O28" i="1" s="1"/>
  <c r="M28" i="1"/>
  <c r="N28" i="1"/>
  <c r="J29" i="1"/>
  <c r="L29" i="1"/>
  <c r="O29" i="1" s="1"/>
  <c r="M29" i="1"/>
  <c r="N29" i="1"/>
  <c r="J30" i="1"/>
  <c r="L30" i="1"/>
  <c r="O30" i="1" s="1"/>
  <c r="M30" i="1"/>
  <c r="N30" i="1"/>
  <c r="J31" i="1"/>
  <c r="L31" i="1"/>
  <c r="O31" i="1" s="1"/>
  <c r="M31" i="1"/>
  <c r="N31" i="1"/>
  <c r="J32" i="1"/>
  <c r="L32" i="1"/>
  <c r="M32" i="1"/>
  <c r="N32" i="1"/>
  <c r="J33" i="1"/>
  <c r="L33" i="1"/>
  <c r="M33" i="1"/>
  <c r="N33" i="1"/>
  <c r="J34" i="1"/>
  <c r="L34" i="1"/>
  <c r="O34" i="1" s="1"/>
  <c r="M34" i="1"/>
  <c r="N34" i="1"/>
  <c r="J35" i="1"/>
  <c r="L35" i="1"/>
  <c r="O35" i="1" s="1"/>
  <c r="M35" i="1"/>
  <c r="N35" i="1"/>
  <c r="J36" i="1"/>
  <c r="L36" i="1"/>
  <c r="O36" i="1" s="1"/>
  <c r="M36" i="1"/>
  <c r="N36" i="1"/>
  <c r="J37" i="1"/>
  <c r="L37" i="1"/>
  <c r="O37" i="1" s="1"/>
  <c r="M37" i="1"/>
  <c r="N37" i="1"/>
  <c r="J38" i="1"/>
  <c r="L38" i="1"/>
  <c r="O38" i="1" s="1"/>
  <c r="M38" i="1"/>
  <c r="N38" i="1"/>
  <c r="J39" i="1"/>
  <c r="L39" i="1"/>
  <c r="O39" i="1" s="1"/>
  <c r="M39" i="1"/>
  <c r="N39" i="1"/>
  <c r="J25" i="1"/>
  <c r="L25" i="1"/>
  <c r="O25" i="1" s="1"/>
  <c r="M25" i="1"/>
  <c r="N25" i="1"/>
  <c r="J98" i="1"/>
  <c r="J97" i="1"/>
  <c r="J96" i="1"/>
  <c r="J95" i="1"/>
  <c r="J94" i="1"/>
  <c r="J93" i="1"/>
  <c r="J92" i="1"/>
  <c r="J91" i="1"/>
  <c r="J90" i="1"/>
  <c r="J89" i="1"/>
  <c r="J87" i="1"/>
  <c r="J86" i="1"/>
  <c r="J85" i="1"/>
  <c r="J84" i="1"/>
  <c r="J83" i="1"/>
  <c r="J82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N98" i="1"/>
  <c r="M98" i="1"/>
  <c r="L98" i="1"/>
  <c r="O98" i="1" s="1"/>
  <c r="N97" i="1"/>
  <c r="M97" i="1"/>
  <c r="L97" i="1"/>
  <c r="O97" i="1" s="1"/>
  <c r="N96" i="1"/>
  <c r="M96" i="1"/>
  <c r="L96" i="1"/>
  <c r="O96" i="1" s="1"/>
  <c r="N95" i="1"/>
  <c r="M95" i="1"/>
  <c r="L95" i="1"/>
  <c r="O95" i="1" s="1"/>
  <c r="N94" i="1"/>
  <c r="M94" i="1"/>
  <c r="L94" i="1"/>
  <c r="O94" i="1" s="1"/>
  <c r="N93" i="1"/>
  <c r="M93" i="1"/>
  <c r="L93" i="1"/>
  <c r="O93" i="1" s="1"/>
  <c r="N92" i="1"/>
  <c r="M92" i="1"/>
  <c r="N91" i="1"/>
  <c r="M91" i="1"/>
  <c r="N90" i="1"/>
  <c r="M90" i="1"/>
  <c r="N89" i="1"/>
  <c r="M89" i="1"/>
  <c r="N87" i="1"/>
  <c r="M87" i="1"/>
  <c r="N86" i="1"/>
  <c r="M86" i="1"/>
  <c r="N85" i="1"/>
  <c r="M85" i="1"/>
  <c r="N84" i="1"/>
  <c r="M84" i="1"/>
  <c r="N83" i="1"/>
  <c r="M83" i="1"/>
  <c r="N82" i="1"/>
  <c r="M82" i="1"/>
  <c r="N80" i="1"/>
  <c r="M80" i="1"/>
  <c r="N79" i="1"/>
  <c r="M79" i="1"/>
  <c r="N78" i="1"/>
  <c r="M78" i="1"/>
  <c r="N77" i="1"/>
  <c r="M77" i="1"/>
  <c r="L77" i="1"/>
  <c r="O77" i="1" s="1"/>
  <c r="N76" i="1"/>
  <c r="M76" i="1"/>
  <c r="L76" i="1"/>
  <c r="O76" i="1" s="1"/>
  <c r="N75" i="1"/>
  <c r="M75" i="1"/>
  <c r="L75" i="1"/>
  <c r="O75" i="1" s="1"/>
  <c r="N74" i="1"/>
  <c r="M74" i="1"/>
  <c r="L74" i="1"/>
  <c r="O74" i="1" s="1"/>
  <c r="N73" i="1"/>
  <c r="M73" i="1"/>
  <c r="L73" i="1"/>
  <c r="O73" i="1" s="1"/>
  <c r="N72" i="1"/>
  <c r="M72" i="1"/>
  <c r="L72" i="1"/>
  <c r="O72" i="1" s="1"/>
  <c r="N71" i="1"/>
  <c r="M71" i="1"/>
  <c r="L71" i="1"/>
  <c r="O71" i="1" s="1"/>
  <c r="N70" i="1"/>
  <c r="M70" i="1"/>
  <c r="L70" i="1"/>
  <c r="O70" i="1" s="1"/>
  <c r="N69" i="1"/>
  <c r="M69" i="1"/>
  <c r="L69" i="1"/>
  <c r="O69" i="1" s="1"/>
  <c r="N68" i="1"/>
  <c r="M68" i="1"/>
  <c r="L68" i="1"/>
  <c r="O68" i="1" s="1"/>
  <c r="N67" i="1"/>
  <c r="M67" i="1"/>
  <c r="L67" i="1"/>
  <c r="O67" i="1" s="1"/>
  <c r="N66" i="1"/>
  <c r="M66" i="1"/>
  <c r="L66" i="1"/>
  <c r="O66" i="1" s="1"/>
  <c r="N65" i="1"/>
  <c r="M65" i="1"/>
  <c r="L65" i="1"/>
  <c r="O65" i="1" s="1"/>
  <c r="N64" i="1"/>
  <c r="M64" i="1"/>
  <c r="L64" i="1"/>
  <c r="O64" i="1" s="1"/>
  <c r="N63" i="1"/>
  <c r="M63" i="1"/>
  <c r="L63" i="1"/>
  <c r="O63" i="1" s="1"/>
  <c r="N62" i="1"/>
  <c r="M62" i="1"/>
  <c r="L62" i="1"/>
  <c r="O62" i="1" s="1"/>
  <c r="L57" i="1"/>
  <c r="M57" i="1"/>
  <c r="N57" i="1"/>
  <c r="L58" i="1"/>
  <c r="O58" i="1" s="1"/>
  <c r="M58" i="1"/>
  <c r="N58" i="1"/>
  <c r="L59" i="1"/>
  <c r="O59" i="1" s="1"/>
  <c r="M59" i="1"/>
  <c r="N59" i="1"/>
  <c r="L60" i="1"/>
  <c r="O60" i="1" s="1"/>
  <c r="M60" i="1"/>
  <c r="N60" i="1"/>
  <c r="O32" i="1" l="1"/>
  <c r="O33" i="1"/>
  <c r="O27" i="1"/>
  <c r="O57" i="1"/>
  <c r="B104" i="4" l="1"/>
  <c r="B103" i="4"/>
  <c r="B102" i="4"/>
  <c r="B101" i="4"/>
  <c r="B100" i="4"/>
  <c r="B99" i="4"/>
  <c r="B98" i="4"/>
  <c r="B97" i="4"/>
  <c r="L54" i="1"/>
  <c r="M54" i="1"/>
  <c r="N54" i="1"/>
  <c r="J55" i="1"/>
  <c r="L55" i="1"/>
  <c r="O55" i="1" s="1"/>
  <c r="M55" i="1"/>
  <c r="N55" i="1"/>
  <c r="J99" i="1"/>
  <c r="L99" i="1"/>
  <c r="O99" i="1" s="1"/>
  <c r="M99" i="1"/>
  <c r="N99" i="1"/>
  <c r="B93" i="4"/>
  <c r="B94" i="4"/>
  <c r="B95" i="4"/>
  <c r="B96" i="4"/>
  <c r="B92" i="4"/>
  <c r="N7" i="1"/>
  <c r="M7" i="1"/>
  <c r="L7" i="1"/>
  <c r="O7" i="1" s="1"/>
  <c r="J7" i="1"/>
  <c r="N88" i="1"/>
  <c r="M88" i="1"/>
  <c r="J88" i="1"/>
  <c r="N81" i="1"/>
  <c r="M81" i="1"/>
  <c r="J81" i="1"/>
  <c r="N61" i="1"/>
  <c r="M61" i="1"/>
  <c r="L61" i="1"/>
  <c r="O61" i="1" s="1"/>
  <c r="N56" i="1"/>
  <c r="M56" i="1"/>
  <c r="L56" i="1"/>
  <c r="O56" i="1" s="1"/>
  <c r="J56" i="1"/>
  <c r="N53" i="1"/>
  <c r="M53" i="1"/>
  <c r="L53" i="1"/>
  <c r="O53" i="1" s="1"/>
  <c r="J53" i="1"/>
  <c r="N52" i="1"/>
  <c r="M52" i="1"/>
  <c r="L52" i="1"/>
  <c r="O52" i="1" s="1"/>
  <c r="J52" i="1"/>
  <c r="N51" i="1"/>
  <c r="M51" i="1"/>
  <c r="L51" i="1"/>
  <c r="O51" i="1" s="1"/>
  <c r="J51" i="1"/>
  <c r="N50" i="1"/>
  <c r="M50" i="1"/>
  <c r="L50" i="1"/>
  <c r="O50" i="1" s="1"/>
  <c r="J50" i="1"/>
  <c r="N49" i="1"/>
  <c r="M49" i="1"/>
  <c r="L49" i="1"/>
  <c r="O49" i="1" s="1"/>
  <c r="J49" i="1"/>
  <c r="N48" i="1"/>
  <c r="M48" i="1"/>
  <c r="L48" i="1"/>
  <c r="O48" i="1" s="1"/>
  <c r="J48" i="1"/>
  <c r="N47" i="1"/>
  <c r="M47" i="1"/>
  <c r="L47" i="1"/>
  <c r="O47" i="1" s="1"/>
  <c r="J47" i="1"/>
  <c r="N46" i="1"/>
  <c r="M46" i="1"/>
  <c r="L46" i="1"/>
  <c r="O46" i="1" s="1"/>
  <c r="J46" i="1"/>
  <c r="N45" i="1"/>
  <c r="M45" i="1"/>
  <c r="L45" i="1"/>
  <c r="O45" i="1" s="1"/>
  <c r="J45" i="1"/>
  <c r="N44" i="1"/>
  <c r="M44" i="1"/>
  <c r="L44" i="1"/>
  <c r="O44" i="1" s="1"/>
  <c r="J44" i="1"/>
  <c r="N43" i="1"/>
  <c r="M43" i="1"/>
  <c r="L43" i="1"/>
  <c r="O43" i="1" s="1"/>
  <c r="J43" i="1"/>
  <c r="N42" i="1"/>
  <c r="M42" i="1"/>
  <c r="L42" i="1"/>
  <c r="O42" i="1" s="1"/>
  <c r="J42" i="1"/>
  <c r="N41" i="1"/>
  <c r="M41" i="1"/>
  <c r="L41" i="1"/>
  <c r="O41" i="1" s="1"/>
  <c r="J41" i="1"/>
  <c r="N40" i="1"/>
  <c r="M40" i="1"/>
  <c r="L40" i="1"/>
  <c r="O40" i="1" s="1"/>
  <c r="J40" i="1"/>
  <c r="N26" i="1"/>
  <c r="M26" i="1"/>
  <c r="L26" i="1"/>
  <c r="O26" i="1" s="1"/>
  <c r="J26" i="1"/>
  <c r="N24" i="1"/>
  <c r="M24" i="1"/>
  <c r="L24" i="1"/>
  <c r="O24" i="1" s="1"/>
  <c r="J24" i="1"/>
  <c r="N23" i="1"/>
  <c r="M23" i="1"/>
  <c r="L23" i="1"/>
  <c r="O23" i="1" s="1"/>
  <c r="J23" i="1"/>
  <c r="N22" i="1"/>
  <c r="M22" i="1"/>
  <c r="L22" i="1"/>
  <c r="O22" i="1" s="1"/>
  <c r="J22" i="1"/>
  <c r="N21" i="1"/>
  <c r="M21" i="1"/>
  <c r="L21" i="1"/>
  <c r="O21" i="1" s="1"/>
  <c r="J21" i="1"/>
  <c r="N20" i="1"/>
  <c r="M20" i="1"/>
  <c r="L20" i="1"/>
  <c r="O20" i="1" s="1"/>
  <c r="J20" i="1"/>
  <c r="N19" i="1"/>
  <c r="M19" i="1"/>
  <c r="L19" i="1"/>
  <c r="O19" i="1" s="1"/>
  <c r="J19" i="1"/>
  <c r="N18" i="1"/>
  <c r="M18" i="1"/>
  <c r="L18" i="1"/>
  <c r="O18" i="1" s="1"/>
  <c r="J18" i="1"/>
  <c r="N17" i="1"/>
  <c r="M17" i="1"/>
  <c r="L17" i="1"/>
  <c r="O17" i="1" s="1"/>
  <c r="J17" i="1"/>
  <c r="N16" i="1"/>
  <c r="M16" i="1"/>
  <c r="L16" i="1"/>
  <c r="O16" i="1" s="1"/>
  <c r="J16" i="1"/>
  <c r="N15" i="1"/>
  <c r="M15" i="1"/>
  <c r="L15" i="1"/>
  <c r="O15" i="1" s="1"/>
  <c r="J15" i="1"/>
  <c r="N14" i="1"/>
  <c r="M14" i="1"/>
  <c r="L14" i="1"/>
  <c r="O14" i="1" s="1"/>
  <c r="J14" i="1"/>
  <c r="N13" i="1"/>
  <c r="M13" i="1"/>
  <c r="L13" i="1"/>
  <c r="O13" i="1" s="1"/>
  <c r="J13" i="1"/>
  <c r="N12" i="1"/>
  <c r="M12" i="1"/>
  <c r="L12" i="1"/>
  <c r="O12" i="1" s="1"/>
  <c r="J12" i="1"/>
  <c r="N11" i="1"/>
  <c r="M11" i="1"/>
  <c r="L11" i="1"/>
  <c r="O11" i="1" s="1"/>
  <c r="J11" i="1"/>
  <c r="N10" i="1"/>
  <c r="M10" i="1"/>
  <c r="L10" i="1"/>
  <c r="O10" i="1" s="1"/>
  <c r="J10" i="1"/>
  <c r="N9" i="1"/>
  <c r="M9" i="1"/>
  <c r="J9" i="1"/>
  <c r="N8" i="1"/>
  <c r="M8" i="1"/>
  <c r="L8" i="1"/>
  <c r="O8" i="1" s="1"/>
  <c r="J8" i="1"/>
  <c r="N6" i="1"/>
  <c r="M6" i="1"/>
  <c r="L6" i="1"/>
  <c r="O6" i="1" s="1"/>
  <c r="J6" i="1"/>
  <c r="N5" i="1"/>
  <c r="M5" i="1"/>
  <c r="L5" i="1"/>
  <c r="O5" i="1" s="1"/>
  <c r="J5" i="1"/>
  <c r="N4" i="1"/>
  <c r="M4" i="1"/>
  <c r="L4" i="1"/>
  <c r="O4" i="1" s="1"/>
  <c r="J4" i="1"/>
  <c r="O54" i="1" l="1"/>
  <c r="B91" i="4" l="1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6" i="4"/>
  <c r="B57" i="4"/>
  <c r="B53" i="4" l="1"/>
  <c r="B54" i="4"/>
  <c r="B55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29" i="4" l="1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1" i="4"/>
  <c r="B10" i="4"/>
  <c r="B9" i="4"/>
  <c r="B8" i="4"/>
  <c r="B7" i="4"/>
  <c r="B6" i="4"/>
  <c r="B5" i="4"/>
  <c r="B4" i="4"/>
  <c r="B3" i="4"/>
  <c r="B2" i="4"/>
  <c r="P77" i="1" l="1"/>
  <c r="P79" i="1"/>
  <c r="B30" i="4"/>
  <c r="P4" i="1" s="1"/>
  <c r="K4" i="1" s="1"/>
  <c r="P17" i="1" l="1"/>
  <c r="K17" i="1" s="1"/>
  <c r="P15" i="1"/>
  <c r="K15" i="1" s="1"/>
  <c r="K79" i="1"/>
  <c r="P84" i="1"/>
  <c r="K84" i="1" s="1"/>
  <c r="P16" i="1"/>
  <c r="K16" i="1" s="1"/>
  <c r="P70" i="1"/>
  <c r="K70" i="1" s="1"/>
  <c r="P42" i="1"/>
  <c r="K42" i="1" s="1"/>
  <c r="P85" i="1"/>
  <c r="K85" i="1" s="1"/>
  <c r="P19" i="1"/>
  <c r="K19" i="1" s="1"/>
  <c r="P13" i="1"/>
  <c r="K13" i="1" s="1"/>
  <c r="P71" i="1"/>
  <c r="K71" i="1" s="1"/>
  <c r="P81" i="1"/>
  <c r="K81" i="1" s="1"/>
  <c r="P12" i="1"/>
  <c r="K12" i="1" s="1"/>
  <c r="P82" i="1"/>
  <c r="K82" i="1" s="1"/>
  <c r="P18" i="1"/>
  <c r="K18" i="1" s="1"/>
  <c r="P83" i="1"/>
  <c r="K83" i="1" s="1"/>
  <c r="P80" i="1"/>
  <c r="K80" i="1" s="1"/>
  <c r="P8" i="1"/>
  <c r="K8" i="1" s="1"/>
  <c r="P5" i="1"/>
  <c r="K5" i="1" s="1"/>
  <c r="P7" i="1"/>
  <c r="K7" i="1" s="1"/>
  <c r="P45" i="1"/>
  <c r="K45" i="1" s="1"/>
  <c r="P43" i="1"/>
  <c r="K43" i="1" s="1"/>
  <c r="P41" i="1"/>
  <c r="K41" i="1" s="1"/>
  <c r="P46" i="1"/>
  <c r="K46" i="1" s="1"/>
  <c r="P40" i="1"/>
  <c r="K40" i="1" s="1"/>
  <c r="P36" i="1"/>
  <c r="K36" i="1" s="1"/>
  <c r="P47" i="1"/>
  <c r="K47" i="1" s="1"/>
  <c r="P37" i="1"/>
  <c r="K37" i="1" s="1"/>
  <c r="P53" i="1"/>
  <c r="K53" i="1" s="1"/>
  <c r="P50" i="1"/>
  <c r="K50" i="1" s="1"/>
  <c r="P35" i="1"/>
  <c r="K35" i="1" s="1"/>
  <c r="P65" i="1"/>
  <c r="K65" i="1" s="1"/>
  <c r="P72" i="1"/>
  <c r="K72" i="1" s="1"/>
  <c r="P48" i="1"/>
  <c r="K48" i="1" s="1"/>
  <c r="P55" i="1"/>
  <c r="K55" i="1" s="1"/>
  <c r="P96" i="1"/>
  <c r="K96" i="1" s="1"/>
  <c r="P33" i="1"/>
  <c r="K33" i="1" s="1"/>
  <c r="P38" i="1"/>
  <c r="K38" i="1" s="1"/>
  <c r="P98" i="1"/>
  <c r="K98" i="1" s="1"/>
  <c r="P63" i="1"/>
  <c r="K63" i="1" s="1"/>
  <c r="P51" i="1"/>
  <c r="K51" i="1" s="1"/>
  <c r="P95" i="1"/>
  <c r="K95" i="1" s="1"/>
  <c r="P27" i="1"/>
  <c r="K27" i="1" s="1"/>
  <c r="P39" i="1"/>
  <c r="K39" i="1" s="1"/>
  <c r="P64" i="1"/>
  <c r="K64" i="1" s="1"/>
  <c r="P59" i="1"/>
  <c r="K59" i="1" s="1"/>
  <c r="P74" i="1"/>
  <c r="K74" i="1" s="1"/>
  <c r="P28" i="1"/>
  <c r="K28" i="1" s="1"/>
  <c r="P94" i="1"/>
  <c r="K94" i="1" s="1"/>
  <c r="K77" i="1"/>
  <c r="P31" i="1"/>
  <c r="K31" i="1" s="1"/>
  <c r="P25" i="1"/>
  <c r="K25" i="1" s="1"/>
  <c r="P66" i="1"/>
  <c r="K66" i="1" s="1"/>
  <c r="P54" i="1"/>
  <c r="K54" i="1" s="1"/>
  <c r="P60" i="1"/>
  <c r="K60" i="1" s="1"/>
  <c r="P73" i="1"/>
  <c r="K73" i="1" s="1"/>
  <c r="P76" i="1"/>
  <c r="K76" i="1" s="1"/>
  <c r="P58" i="1"/>
  <c r="K58" i="1" s="1"/>
  <c r="P69" i="1"/>
  <c r="K69" i="1" s="1"/>
  <c r="P97" i="1"/>
  <c r="K97" i="1" s="1"/>
  <c r="P32" i="1"/>
  <c r="K32" i="1" s="1"/>
  <c r="P68" i="1"/>
  <c r="K68" i="1" s="1"/>
  <c r="P29" i="1"/>
  <c r="K29" i="1" s="1"/>
  <c r="P34" i="1"/>
  <c r="K34" i="1" s="1"/>
  <c r="P93" i="1"/>
  <c r="K93" i="1" s="1"/>
  <c r="P99" i="1"/>
  <c r="K99" i="1" s="1"/>
  <c r="P57" i="1"/>
  <c r="K57" i="1" s="1"/>
  <c r="P75" i="1"/>
  <c r="K75" i="1" s="1"/>
  <c r="P67" i="1"/>
  <c r="K67" i="1" s="1"/>
  <c r="P30" i="1"/>
  <c r="K30" i="1" s="1"/>
  <c r="P78" i="1"/>
  <c r="K78" i="1" s="1"/>
  <c r="P62" i="1"/>
  <c r="K62" i="1" s="1"/>
  <c r="P10" i="1"/>
  <c r="K10" i="1" s="1"/>
  <c r="P22" i="1"/>
  <c r="K22" i="1" s="1"/>
  <c r="P6" i="1"/>
  <c r="K6" i="1" s="1"/>
  <c r="P14" i="1"/>
  <c r="K14" i="1" s="1"/>
  <c r="P23" i="1"/>
  <c r="K23" i="1" s="1"/>
  <c r="P26" i="1"/>
  <c r="K26" i="1" s="1"/>
  <c r="P56" i="1"/>
  <c r="K56" i="1" s="1"/>
  <c r="P24" i="1"/>
  <c r="K24" i="1" s="1"/>
  <c r="P21" i="1"/>
  <c r="K21" i="1" s="1"/>
  <c r="P61" i="1"/>
  <c r="K61" i="1" s="1"/>
  <c r="P20" i="1"/>
  <c r="K20" i="1" s="1"/>
  <c r="P52" i="1"/>
  <c r="K52" i="1" s="1"/>
  <c r="P11" i="1"/>
  <c r="K11" i="1" s="1"/>
  <c r="P9" i="1"/>
  <c r="K9" i="1" s="1"/>
  <c r="P44" i="1"/>
  <c r="K44" i="1" s="1"/>
  <c r="P49" i="1"/>
  <c r="K49" i="1" s="1"/>
  <c r="P92" i="1" l="1"/>
  <c r="K92" i="1" s="1"/>
  <c r="P87" i="1"/>
  <c r="K87" i="1" s="1"/>
  <c r="P90" i="1"/>
  <c r="K90" i="1" s="1"/>
  <c r="P88" i="1"/>
  <c r="K88" i="1" s="1"/>
  <c r="P89" i="1"/>
  <c r="K89" i="1" s="1"/>
  <c r="P91" i="1"/>
  <c r="K91" i="1" s="1"/>
  <c r="P86" i="1"/>
  <c r="K86" i="1" s="1"/>
</calcChain>
</file>

<file path=xl/sharedStrings.xml><?xml version="1.0" encoding="utf-8"?>
<sst xmlns="http://schemas.openxmlformats.org/spreadsheetml/2006/main" count="1119" uniqueCount="186">
  <si>
    <t>Volvo Bestellcodes bis MY25</t>
  </si>
  <si>
    <t>Typ</t>
  </si>
  <si>
    <t>En</t>
  </si>
  <si>
    <t>SV</t>
  </si>
  <si>
    <t>B</t>
  </si>
  <si>
    <t>G</t>
  </si>
  <si>
    <t>S</t>
  </si>
  <si>
    <t>MC</t>
  </si>
  <si>
    <t>From</t>
  </si>
  <si>
    <t>To</t>
  </si>
  <si>
    <t>Bestellcode</t>
  </si>
  <si>
    <t>Verkaufsbezeichnung</t>
  </si>
  <si>
    <t>Engine</t>
  </si>
  <si>
    <t>Getriebe</t>
  </si>
  <si>
    <t>Typ_Code</t>
  </si>
  <si>
    <t>Sales Version</t>
  </si>
  <si>
    <t>EE</t>
  </si>
  <si>
    <t>E</t>
  </si>
  <si>
    <t>EN</t>
  </si>
  <si>
    <t>L</t>
  </si>
  <si>
    <t>EV</t>
  </si>
  <si>
    <t>H7</t>
  </si>
  <si>
    <t>H3</t>
  </si>
  <si>
    <t>D</t>
  </si>
  <si>
    <t>H8</t>
  </si>
  <si>
    <t>VC</t>
  </si>
  <si>
    <t>V7</t>
  </si>
  <si>
    <t>M1</t>
  </si>
  <si>
    <t>C</t>
  </si>
  <si>
    <t>H1</t>
  </si>
  <si>
    <t>G2</t>
  </si>
  <si>
    <t>G3</t>
  </si>
  <si>
    <t/>
  </si>
  <si>
    <t>G7</t>
  </si>
  <si>
    <t>G8</t>
  </si>
  <si>
    <t>VA</t>
  </si>
  <si>
    <t>V5</t>
  </si>
  <si>
    <t>H5</t>
  </si>
  <si>
    <t>H4</t>
  </si>
  <si>
    <t>TA</t>
  </si>
  <si>
    <t>TD</t>
  </si>
  <si>
    <t>TE</t>
  </si>
  <si>
    <t>TR</t>
  </si>
  <si>
    <t>T2</t>
  </si>
  <si>
    <t>T3</t>
  </si>
  <si>
    <t>T7</t>
  </si>
  <si>
    <t>T8</t>
  </si>
  <si>
    <t>P5</t>
  </si>
  <si>
    <t>RA</t>
  </si>
  <si>
    <t>RE</t>
  </si>
  <si>
    <t>R5</t>
  </si>
  <si>
    <t>R9</t>
  </si>
  <si>
    <t>K8</t>
  </si>
  <si>
    <t>F</t>
  </si>
  <si>
    <t>EB</t>
  </si>
  <si>
    <t>R4</t>
  </si>
  <si>
    <t>EX40</t>
  </si>
  <si>
    <t>R6</t>
  </si>
  <si>
    <t>R8</t>
  </si>
  <si>
    <t>EH</t>
  </si>
  <si>
    <t>RB</t>
  </si>
  <si>
    <t>ER</t>
  </si>
  <si>
    <t>K7</t>
  </si>
  <si>
    <t>XC40</t>
  </si>
  <si>
    <t>Modell</t>
  </si>
  <si>
    <t>525</t>
  </si>
  <si>
    <t>V40</t>
  </si>
  <si>
    <t>V40 Cross Country</t>
  </si>
  <si>
    <t>EX40_R4</t>
  </si>
  <si>
    <t>Essential</t>
  </si>
  <si>
    <t>S60</t>
  </si>
  <si>
    <t>XC40_R5</t>
  </si>
  <si>
    <t>Plus Dark</t>
  </si>
  <si>
    <t>S60 Cross Country</t>
  </si>
  <si>
    <t>EX40_R6</t>
  </si>
  <si>
    <t>Core</t>
  </si>
  <si>
    <t>V60</t>
  </si>
  <si>
    <t>XC40_11</t>
  </si>
  <si>
    <t>V60 Cross Country</t>
  </si>
  <si>
    <t>XC40_13</t>
  </si>
  <si>
    <t>Plus Bright</t>
  </si>
  <si>
    <t>V70</t>
  </si>
  <si>
    <t>XC40_17</t>
  </si>
  <si>
    <t>S80</t>
  </si>
  <si>
    <t>XC40_G7</t>
  </si>
  <si>
    <t>XC60</t>
  </si>
  <si>
    <t>XC40_V5</t>
  </si>
  <si>
    <t>XC70</t>
  </si>
  <si>
    <t>XC40_G3</t>
  </si>
  <si>
    <t>XC90</t>
  </si>
  <si>
    <t>EX40_RB</t>
  </si>
  <si>
    <t>Ultra</t>
  </si>
  <si>
    <t>S90</t>
  </si>
  <si>
    <t>EX40_R8</t>
  </si>
  <si>
    <t>Plus</t>
  </si>
  <si>
    <t>V90</t>
  </si>
  <si>
    <t>XC40_G2</t>
  </si>
  <si>
    <t>V90 Cross Country</t>
  </si>
  <si>
    <t>XC40_G8</t>
  </si>
  <si>
    <t>Ultra Bright</t>
  </si>
  <si>
    <t>XC40_VA</t>
  </si>
  <si>
    <t>Ultra Dark</t>
  </si>
  <si>
    <t>XC40_18</t>
  </si>
  <si>
    <t>S90L</t>
  </si>
  <si>
    <t>XC40_RA</t>
  </si>
  <si>
    <t>EC40</t>
  </si>
  <si>
    <t>EX90</t>
  </si>
  <si>
    <t>EX30</t>
  </si>
  <si>
    <t>Code</t>
  </si>
  <si>
    <t>Motor</t>
  </si>
  <si>
    <t>L1</t>
  </si>
  <si>
    <t>B5 (B)</t>
  </si>
  <si>
    <t>06</t>
  </si>
  <si>
    <t>B6 (B)</t>
  </si>
  <si>
    <t>BW</t>
  </si>
  <si>
    <t>Recharge T4</t>
  </si>
  <si>
    <t>B4 (B)</t>
  </si>
  <si>
    <t>EF</t>
  </si>
  <si>
    <t>Recharge</t>
  </si>
  <si>
    <t>ED</t>
  </si>
  <si>
    <t>Recharge Twin</t>
  </si>
  <si>
    <t>B3 (B)</t>
  </si>
  <si>
    <t>T6 AWD</t>
  </si>
  <si>
    <t>T8 AWD</t>
  </si>
  <si>
    <t>Single Motor Extended Range RWD</t>
  </si>
  <si>
    <t>Twin Motor AWD</t>
  </si>
  <si>
    <t>Twin Motor Performance AWD</t>
  </si>
  <si>
    <t>Single Motor RWD</t>
  </si>
  <si>
    <t>B5 (B) AWD</t>
  </si>
  <si>
    <t>EM</t>
  </si>
  <si>
    <t>EL</t>
  </si>
  <si>
    <t>EK</t>
  </si>
  <si>
    <t>BGS</t>
  </si>
  <si>
    <t>0C1</t>
  </si>
  <si>
    <t>8-Gang Automatikgetriebe</t>
  </si>
  <si>
    <t>0D1</t>
  </si>
  <si>
    <t>7-Gang-Doppelkupplungsgetriebe</t>
  </si>
  <si>
    <t>Automatikgetriebe einstufig</t>
  </si>
  <si>
    <t xml:space="preserve"> </t>
  </si>
  <si>
    <t>Momentum Core</t>
  </si>
  <si>
    <t>Momentum</t>
  </si>
  <si>
    <t>Plus Bright (7-Sitzer)</t>
  </si>
  <si>
    <t>R7</t>
  </si>
  <si>
    <t>Plus Dark (7-Sitzer)</t>
  </si>
  <si>
    <t>FE</t>
  </si>
  <si>
    <t>First Edition</t>
  </si>
  <si>
    <t>Core (7-Sitzer)</t>
  </si>
  <si>
    <t>Polestar Engineered</t>
  </si>
  <si>
    <t>1B</t>
  </si>
  <si>
    <t>R-Design Expression</t>
  </si>
  <si>
    <t>2B</t>
  </si>
  <si>
    <t>R-Design Expression (7-Sitzer)</t>
  </si>
  <si>
    <t>B2</t>
  </si>
  <si>
    <t>Sonderschutzfahrzeug</t>
  </si>
  <si>
    <t>Ultra Dark (7-Sitzer)</t>
  </si>
  <si>
    <t>Ultra Bright (7-Sitzer)</t>
  </si>
  <si>
    <t>RC</t>
  </si>
  <si>
    <t>Ultra (7-Sitzer)</t>
  </si>
  <si>
    <t>V9</t>
  </si>
  <si>
    <t>Plus Black Edition</t>
  </si>
  <si>
    <t>VE</t>
  </si>
  <si>
    <t>Ultra Black Edition</t>
  </si>
  <si>
    <t>Core (5-Sitzer)</t>
  </si>
  <si>
    <t>Core (6-Sitzer)</t>
  </si>
  <si>
    <t>Plus (6-Sitzer)</t>
  </si>
  <si>
    <t>Plus (7-Sitzer)</t>
  </si>
  <si>
    <t>Ultra (6-Sitzer)</t>
  </si>
  <si>
    <t>Manual Schwacke Codes entschlüsseln</t>
  </si>
  <si>
    <t xml:space="preserve">Schritte </t>
  </si>
  <si>
    <t>Beschreibeung</t>
  </si>
  <si>
    <t>1.</t>
  </si>
  <si>
    <t>Bei neuem Modelljahr PNO12 Liste für alle in DE autorisierten Fahrzeuge bei Niranjan Selvarajah (niranjan.selvarajah@volvocars.com) anfordern.</t>
  </si>
  <si>
    <t xml:space="preserve">2. </t>
  </si>
  <si>
    <t>Markierte Daten (siehe Screenshot links) aus PNO12 Liste kopieren und in Schwacke Liste (siehe Screenshot rechts) einfügen.</t>
  </si>
  <si>
    <t>3.</t>
  </si>
  <si>
    <t>Bestellcodes und Verkaufsbezeichnung werden automatisch generiert.</t>
  </si>
  <si>
    <t>4.</t>
  </si>
  <si>
    <t>In den Blättern Typ/ Motor/ Getriebe/ Sales Version etwaige Änderungen des MY (neue Modelle, Motoren, neue SV, etc.) vornehmen.</t>
  </si>
  <si>
    <t>5.</t>
  </si>
  <si>
    <t>Blatt Bestellcode an Schwacke (Saalfeld, Detlev &lt;detlev.saalfeld@Schwacke.de&gt;; Baumann, Holger &lt;Holger.Baumann@schwacke.de&gt;) senden.</t>
  </si>
  <si>
    <t>Typ (CPAM)</t>
  </si>
  <si>
    <t>Code (CPAM)</t>
  </si>
  <si>
    <t>Typ_Code (CPAM)</t>
  </si>
  <si>
    <t>Sales Version (Locally defined)</t>
  </si>
  <si>
    <t>From (locally)</t>
  </si>
  <si>
    <t>To (locally)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</si>
</sst>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Volvo Broad"/>
    </font>
    <font>
      <sz val="11"/>
      <color theme="0"/>
      <name val="VolvoSansLight"/>
    </font>
    <font>
      <sz val="11"/>
      <color theme="1"/>
      <name val="VolvoSansLight"/>
    </font>
    <font>
      <b/>
      <sz val="11"/>
      <color theme="0"/>
      <name val="VolvoSansLight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name val="VolvoSansLight"/>
    </font>
    <font>
      <sz val="9"/>
      <name val="Volvo Novum"/>
      <family val="2"/>
    </font>
  </fonts>
  <fills count="9">
    <fill>
      <patternFill patternType="none"/>
    </fill>
    <fill>
      <patternFill patternType="gray125"/>
    </fill>
    <fill>
      <patternFill patternType="solid">
        <fgColor rgb="FF1D3356"/>
        <bgColor indexed="64"/>
      </patternFill>
    </fill>
    <fill>
      <patternFill patternType="solid">
        <fgColor rgb="FFC3D5E5"/>
        <bgColor indexed="64"/>
      </patternFill>
    </fill>
    <fill>
      <patternFill patternType="solid">
        <fgColor rgb="FFD3BC8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3" fillId="2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/>
    </xf>
    <xf numFmtId="0" fontId="3" fillId="2" borderId="1" xfId="0" applyFont="1" applyFill="1" applyBorder="1"/>
    <xf numFmtId="0" fontId="4" fillId="0" borderId="1" xfId="0" applyFont="1" applyBorder="1"/>
    <xf numFmtId="0" fontId="0" fillId="3" borderId="0" xfId="0" applyFill="1" applyAlignment="1">
      <alignment horizontal="left"/>
    </xf>
    <xf numFmtId="0" fontId="0" fillId="4" borderId="0" xfId="0" applyFill="1"/>
    <xf numFmtId="0" fontId="6" fillId="6" borderId="0" xfId="0" applyFont="1" applyFill="1"/>
    <xf numFmtId="0" fontId="0" fillId="7" borderId="0" xfId="0" applyFill="1"/>
    <xf numFmtId="0" fontId="0" fillId="7" borderId="0" xfId="0" applyFill="1" applyAlignment="1">
      <alignment horizontal="center"/>
    </xf>
    <xf numFmtId="0" fontId="6" fillId="5" borderId="0" xfId="0" applyFont="1" applyFill="1"/>
    <xf numFmtId="49" fontId="4" fillId="0" borderId="1" xfId="0" quotePrefix="1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left"/>
    </xf>
    <xf numFmtId="0" fontId="4" fillId="0" borderId="1" xfId="0" quotePrefix="1" applyFont="1" applyBorder="1"/>
    <xf numFmtId="0" fontId="4" fillId="0" borderId="1" xfId="0" quotePrefix="1" applyFont="1" applyBorder="1" applyAlignment="1">
      <alignment horizontal="left"/>
    </xf>
    <xf numFmtId="0" fontId="8" fillId="8" borderId="9" xfId="0" quotePrefix="1" applyFont="1" applyFill="1" applyBorder="1" applyAlignment="1">
      <alignment horizontal="center"/>
    </xf>
    <xf numFmtId="0" fontId="9" fillId="3" borderId="10" xfId="0" applyFont="1" applyFill="1" applyBorder="1"/>
    <xf numFmtId="0" fontId="8" fillId="8" borderId="11" xfId="0" quotePrefix="1" applyFont="1" applyFill="1" applyBorder="1" applyAlignment="1">
      <alignment horizontal="center"/>
    </xf>
    <xf numFmtId="49" fontId="8" fillId="8" borderId="12" xfId="0" applyNumberFormat="1" applyFont="1" applyFill="1" applyBorder="1" applyAlignment="1">
      <alignment horizontal="center"/>
    </xf>
    <xf numFmtId="0" fontId="8" fillId="8" borderId="12" xfId="0" applyFont="1" applyFill="1" applyBorder="1" applyAlignment="1">
      <alignment horizontal="center"/>
    </xf>
    <xf numFmtId="0" fontId="9" fillId="0" borderId="12" xfId="0" applyFont="1" applyBorder="1" applyAlignment="1">
      <alignment horizontal="left"/>
    </xf>
    <xf numFmtId="0" fontId="9" fillId="3" borderId="12" xfId="0" applyFont="1" applyFill="1" applyBorder="1"/>
    <xf numFmtId="0" fontId="9" fillId="3" borderId="13" xfId="0" applyFont="1" applyFill="1" applyBorder="1"/>
    <xf numFmtId="0" fontId="8" fillId="8" borderId="14" xfId="0" quotePrefix="1" applyFont="1" applyFill="1" applyBorder="1" applyAlignment="1">
      <alignment horizontal="center"/>
    </xf>
    <xf numFmtId="49" fontId="8" fillId="8" borderId="2" xfId="0" applyNumberFormat="1" applyFont="1" applyFill="1" applyBorder="1" applyAlignment="1">
      <alignment horizontal="center"/>
    </xf>
    <xf numFmtId="0" fontId="8" fillId="8" borderId="2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9" fillId="0" borderId="2" xfId="0" applyFont="1" applyBorder="1" applyAlignment="1">
      <alignment horizontal="left"/>
    </xf>
    <xf numFmtId="0" fontId="9" fillId="3" borderId="2" xfId="0" applyFont="1" applyFill="1" applyBorder="1"/>
    <xf numFmtId="0" fontId="9" fillId="3" borderId="15" xfId="0" applyFont="1" applyFill="1" applyBorder="1"/>
    <xf numFmtId="0" fontId="8" fillId="8" borderId="16" xfId="0" quotePrefix="1" applyFont="1" applyFill="1" applyBorder="1" applyAlignment="1">
      <alignment horizontal="center"/>
    </xf>
    <xf numFmtId="49" fontId="8" fillId="8" borderId="17" xfId="0" applyNumberFormat="1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/>
    </xf>
    <xf numFmtId="0" fontId="0" fillId="0" borderId="17" xfId="0" applyBorder="1" applyAlignment="1">
      <alignment horizontal="left"/>
    </xf>
    <xf numFmtId="0" fontId="9" fillId="0" borderId="17" xfId="0" applyFont="1" applyBorder="1" applyAlignment="1">
      <alignment horizontal="left"/>
    </xf>
    <xf numFmtId="0" fontId="9" fillId="3" borderId="17" xfId="0" applyFont="1" applyFill="1" applyBorder="1"/>
    <xf numFmtId="0" fontId="9" fillId="3" borderId="18" xfId="0" applyFont="1" applyFill="1" applyBorder="1"/>
    <xf numFmtId="0" fontId="10" fillId="0" borderId="2" xfId="0" applyFont="1" applyBorder="1" applyAlignment="1">
      <alignment horizontal="center" vertical="center" wrapText="1"/>
    </xf>
    <xf numFmtId="0" fontId="10" fillId="0" borderId="17" xfId="0" applyFont="1" applyBorder="1" applyAlignment="1">
      <alignment horizontal="center" vertical="center" wrapText="1"/>
    </xf>
    <xf numFmtId="0" fontId="2" fillId="2" borderId="6" xfId="0" applyFont="1" applyFill="1" applyBorder="1" applyAlignment="1">
      <alignment horizontal="left"/>
    </xf>
    <xf numFmtId="0" fontId="2" fillId="2" borderId="7" xfId="0" applyFont="1" applyFill="1" applyBorder="1" applyAlignment="1">
      <alignment horizontal="left"/>
    </xf>
    <xf numFmtId="0" fontId="2" fillId="2" borderId="8" xfId="0" applyFont="1" applyFill="1" applyBorder="1" applyAlignment="1">
      <alignment horizontal="left"/>
    </xf>
    <xf numFmtId="0" fontId="2" fillId="2" borderId="9" xfId="0" applyFont="1" applyFill="1" applyBorder="1" applyAlignment="1">
      <alignment horizontal="left"/>
    </xf>
    <xf numFmtId="0" fontId="0" fillId="2" borderId="10" xfId="0" applyFill="1" applyBorder="1" applyAlignment="1">
      <alignment horizontal="left"/>
    </xf>
    <xf numFmtId="0" fontId="5" fillId="2" borderId="9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left"/>
    </xf>
    <xf numFmtId="0" fontId="10" fillId="0" borderId="12" xfId="0" applyFont="1" applyBorder="1" applyAlignment="1">
      <alignment horizontal="center" vertical="center" wrapText="1"/>
    </xf>
    <xf numFmtId="49" fontId="8" fillId="8" borderId="0" xfId="0" applyNumberFormat="1" applyFont="1" applyFill="1" applyAlignment="1">
      <alignment horizontal="center"/>
    </xf>
    <xf numFmtId="0" fontId="8" fillId="8" borderId="0" xfId="0" applyFont="1" applyFill="1" applyAlignment="1">
      <alignment horizontal="center"/>
    </xf>
    <xf numFmtId="0" fontId="9" fillId="0" borderId="0" xfId="0" applyFont="1" applyAlignment="1">
      <alignment horizontal="left"/>
    </xf>
    <xf numFmtId="0" fontId="9" fillId="3" borderId="0" xfId="0" applyFont="1" applyFill="1"/>
    <xf numFmtId="0" fontId="10" fillId="0" borderId="0" xfId="0" applyFont="1" applyAlignment="1">
      <alignment horizontal="center" vertical="center" wrapText="1"/>
    </xf>
    <xf numFmtId="0" fontId="8" fillId="8" borderId="20" xfId="0" quotePrefix="1" applyFont="1" applyFill="1" applyBorder="1" applyAlignment="1">
      <alignment horizontal="center"/>
    </xf>
    <xf numFmtId="0" fontId="9" fillId="3" borderId="4" xfId="0" applyFont="1" applyFill="1" applyBorder="1"/>
    <xf numFmtId="0" fontId="8" fillId="8" borderId="19" xfId="0" quotePrefix="1" applyFont="1" applyFill="1" applyBorder="1" applyAlignment="1">
      <alignment horizontal="center"/>
    </xf>
    <xf numFmtId="0" fontId="9" fillId="3" borderId="3" xfId="0" applyFont="1" applyFill="1" applyBorder="1"/>
    <xf numFmtId="0" fontId="8" fillId="8" borderId="21" xfId="0" quotePrefix="1" applyFont="1" applyFill="1" applyBorder="1" applyAlignment="1">
      <alignment horizontal="center"/>
    </xf>
    <xf numFmtId="0" fontId="9" fillId="3" borderId="5" xfId="0" applyFont="1" applyFill="1" applyBorder="1"/>
    <xf numFmtId="0" fontId="0" fillId="2" borderId="0" xfId="0" applyFill="1" applyAlignment="1">
      <alignment horizontal="left"/>
    </xf>
    <xf numFmtId="0" fontId="5" fillId="2" borderId="0" xfId="0" applyFont="1" applyFill="1" applyAlignment="1">
      <alignment horizontal="left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3D5E5"/>
      <color rgb="FFFFC000"/>
      <color rgb="FFD3BC8D"/>
      <color rgb="FF1D335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5</xdr:row>
      <xdr:rowOff>9525</xdr:rowOff>
    </xdr:from>
    <xdr:to>
      <xdr:col>4</xdr:col>
      <xdr:colOff>761568</xdr:colOff>
      <xdr:row>12</xdr:row>
      <xdr:rowOff>76200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39249"/>
        <a:stretch/>
      </xdr:blipFill>
      <xdr:spPr>
        <a:xfrm>
          <a:off x="552450" y="1362075"/>
          <a:ext cx="3457143" cy="2800350"/>
        </a:xfrm>
        <a:prstGeom prst="rect">
          <a:avLst/>
        </a:prstGeom>
      </xdr:spPr>
    </xdr:pic>
    <xdr:clientData/>
  </xdr:twoCellAnchor>
  <xdr:twoCellAnchor editAs="oneCell">
    <xdr:from>
      <xdr:col>6</xdr:col>
      <xdr:colOff>180975</xdr:colOff>
      <xdr:row>5</xdr:row>
      <xdr:rowOff>38100</xdr:rowOff>
    </xdr:from>
    <xdr:to>
      <xdr:col>12</xdr:col>
      <xdr:colOff>532784</xdr:colOff>
      <xdr:row>12</xdr:row>
      <xdr:rowOff>256806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53000" y="1390650"/>
          <a:ext cx="4923809" cy="2952381"/>
        </a:xfrm>
        <a:prstGeom prst="rect">
          <a:avLst/>
        </a:prstGeom>
      </xdr:spPr>
    </xdr:pic>
    <xdr:clientData/>
  </xdr:twoCellAnchor>
  <xdr:twoCellAnchor>
    <xdr:from>
      <xdr:col>2</xdr:col>
      <xdr:colOff>704850</xdr:colOff>
      <xdr:row>7</xdr:row>
      <xdr:rowOff>133350</xdr:rowOff>
    </xdr:from>
    <xdr:to>
      <xdr:col>7</xdr:col>
      <xdr:colOff>152400</xdr:colOff>
      <xdr:row>8</xdr:row>
      <xdr:rowOff>304800</xdr:rowOff>
    </xdr:to>
    <xdr:sp macro="" textlink="">
      <xdr:nvSpPr>
        <xdr:cNvPr id="5" name="180-Grad-Pfeil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333625" y="2266950"/>
          <a:ext cx="3352800" cy="561975"/>
        </a:xfrm>
        <a:prstGeom prst="utur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 filterMode="1">
    <tabColor rgb="FF0070C0"/>
  </sheetPr>
  <dimension ref="A1:V441"/>
  <sheetViews>
    <sheetView zoomScaleNormal="100" workbookViewId="0">
      <pane ySplit="3" topLeftCell="A39" activePane="bottomLeft" state="frozen"/>
      <selection pane="bottomLeft" activeCell="K50" sqref="K50"/>
    </sheetView>
  </sheetViews>
  <sheetFormatPr defaultColWidth="11.42578125" defaultRowHeight="15"/>
  <cols>
    <col min="1" max="1" width="6.42578125" style="1" bestFit="1" customWidth="1"/>
    <col min="2" max="2" width="5.42578125" style="1" bestFit="1" customWidth="1"/>
    <col min="3" max="3" width="6" style="1" bestFit="1" customWidth="1"/>
    <col min="4" max="4" width="5" style="1" bestFit="1" customWidth="1"/>
    <col min="5" max="5" width="5.140625" style="1" bestFit="1" customWidth="1"/>
    <col min="6" max="6" width="5" style="1" bestFit="1" customWidth="1"/>
    <col min="7" max="7" width="6.7109375" style="1" bestFit="1" customWidth="1"/>
    <col min="8" max="8" width="10.5703125" style="1" bestFit="1" customWidth="1"/>
    <col min="9" max="9" width="10.5703125" style="1" customWidth="1"/>
    <col min="10" max="10" width="16.42578125" style="1" bestFit="1" customWidth="1"/>
    <col min="11" max="11" width="95.85546875" style="7" customWidth="1"/>
    <col min="12" max="12" width="18.7109375" style="8" customWidth="1"/>
    <col min="13" max="13" width="31.140625" style="8" customWidth="1"/>
    <col min="14" max="14" width="40.5703125" style="8" customWidth="1"/>
    <col min="15" max="15" width="22.5703125" style="8" customWidth="1"/>
    <col min="16" max="16" width="48.140625" style="8" bestFit="1" customWidth="1"/>
  </cols>
  <sheetData>
    <row r="1" spans="1:22" ht="77.25" customHeight="1">
      <c r="A1" s="41" t="s">
        <v>0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3"/>
    </row>
    <row r="2" spans="1:22" ht="15" customHeight="1">
      <c r="A2" s="44"/>
      <c r="B2" s="60"/>
      <c r="C2" s="6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45"/>
    </row>
    <row r="3" spans="1:22" s="2" customFormat="1">
      <c r="A3" s="46" t="s">
        <v>1</v>
      </c>
      <c r="B3" s="61" t="s">
        <v>2</v>
      </c>
      <c r="C3" s="61" t="s">
        <v>3</v>
      </c>
      <c r="D3" s="61" t="s">
        <v>4</v>
      </c>
      <c r="E3" s="61" t="s">
        <v>5</v>
      </c>
      <c r="F3" s="61" t="s">
        <v>6</v>
      </c>
      <c r="G3" s="61" t="s">
        <v>7</v>
      </c>
      <c r="H3" s="61" t="s">
        <v>8</v>
      </c>
      <c r="I3" s="61" t="s">
        <v>9</v>
      </c>
      <c r="J3" s="61" t="s">
        <v>10</v>
      </c>
      <c r="K3" s="61" t="s">
        <v>11</v>
      </c>
      <c r="L3" s="61" t="s">
        <v>1</v>
      </c>
      <c r="M3" s="61" t="s">
        <v>12</v>
      </c>
      <c r="N3" s="61" t="s">
        <v>13</v>
      </c>
      <c r="O3" s="61" t="s">
        <v>14</v>
      </c>
      <c r="P3" s="47" t="s">
        <v>15</v>
      </c>
      <c r="V3" s="2">
        <v>1</v>
      </c>
    </row>
    <row r="4" spans="1:22" hidden="1">
      <c r="A4" s="32">
        <v>356</v>
      </c>
      <c r="B4" s="33" t="s">
        <v>16</v>
      </c>
      <c r="C4" s="33">
        <v>16</v>
      </c>
      <c r="D4" s="34">
        <v>0</v>
      </c>
      <c r="E4" s="33" t="s">
        <v>17</v>
      </c>
      <c r="F4" s="34">
        <v>1</v>
      </c>
      <c r="G4" s="34">
        <v>19</v>
      </c>
      <c r="H4" s="36"/>
      <c r="I4" s="36"/>
      <c r="J4" s="36" t="str">
        <f t="shared" ref="J4:J5" si="0">A4&amp;""&amp;B4&amp;""&amp;C4&amp;""&amp;D4&amp;E4&amp;F4</f>
        <v>356EE160E1</v>
      </c>
      <c r="K4" s="37" t="str">
        <f t="shared" ref="K4" si="1">L4&amp;" "&amp;M4&amp;" "&amp;N4&amp;" "&amp;P4</f>
        <v>EX90 Twin Motor Performance AWD Automatikgetriebe einstufig Core (6-Sitzer)</v>
      </c>
      <c r="L4" s="37" t="str">
        <f>VLOOKUP(A4,Typ!$A$1:$B$99,2,FALSE)</f>
        <v>EX90</v>
      </c>
      <c r="M4" s="37" t="str">
        <f>VLOOKUP(B4,Motor!$A$1:$B$45,2,FALSE)</f>
        <v>Twin Motor Performance AWD</v>
      </c>
      <c r="N4" s="37" t="str">
        <f>VLOOKUP(E4,Getriebe!$B$1:$C$93,2,FALSE)</f>
        <v>Automatikgetriebe einstufig</v>
      </c>
      <c r="O4" s="37" t="str">
        <f t="shared" ref="O4" si="2">L4&amp;"_"&amp;C4</f>
        <v>EX90_16</v>
      </c>
      <c r="P4" s="38" t="str">
        <f>IF(C4=32,"",VLOOKUP(O4,Ausstattungslinie!$B$1:$D$732,2,FALSE))</f>
        <v>Core (6-Sitzer)</v>
      </c>
    </row>
    <row r="5" spans="1:22" hidden="1">
      <c r="A5" s="17">
        <v>356</v>
      </c>
      <c r="B5" s="49" t="s">
        <v>16</v>
      </c>
      <c r="C5" s="49">
        <v>17</v>
      </c>
      <c r="D5" s="50">
        <v>0</v>
      </c>
      <c r="E5" s="49" t="s">
        <v>17</v>
      </c>
      <c r="F5" s="50">
        <v>1</v>
      </c>
      <c r="G5" s="50">
        <v>19</v>
      </c>
      <c r="H5" s="51"/>
      <c r="I5" s="51"/>
      <c r="J5" s="51" t="str">
        <f t="shared" si="0"/>
        <v>356EE170E1</v>
      </c>
      <c r="K5" s="52" t="str">
        <f t="shared" ref="K5:K61" si="3">L5&amp;" "&amp;M5&amp;" "&amp;N5&amp;" "&amp;P5</f>
        <v>EX90 Twin Motor Performance AWD Automatikgetriebe einstufig Core (7-Sitzer)</v>
      </c>
      <c r="L5" s="52" t="str">
        <f>VLOOKUP(A5,Typ!$A$1:$B$99,2,FALSE)</f>
        <v>EX90</v>
      </c>
      <c r="M5" s="52" t="str">
        <f>VLOOKUP(B5,Motor!$A$1:$B$45,2,FALSE)</f>
        <v>Twin Motor Performance AWD</v>
      </c>
      <c r="N5" s="52" t="str">
        <f>VLOOKUP(E5,Getriebe!$B$1:$C$93,2,FALSE)</f>
        <v>Automatikgetriebe einstufig</v>
      </c>
      <c r="O5" s="52" t="str">
        <f t="shared" ref="O5:O61" si="4">L5&amp;"_"&amp;C5</f>
        <v>EX90_17</v>
      </c>
      <c r="P5" s="18" t="str">
        <f>IF(C5=32,"",VLOOKUP(O5,Ausstattungslinie!$B$1:$D$732,2,FALSE))</f>
        <v>Core (7-Sitzer)</v>
      </c>
    </row>
    <row r="6" spans="1:22" hidden="1">
      <c r="A6" s="17">
        <v>356</v>
      </c>
      <c r="B6" s="49" t="s">
        <v>16</v>
      </c>
      <c r="C6" s="49">
        <v>36</v>
      </c>
      <c r="D6" s="50">
        <v>0</v>
      </c>
      <c r="E6" s="49" t="s">
        <v>17</v>
      </c>
      <c r="F6" s="50">
        <v>1</v>
      </c>
      <c r="G6" s="50">
        <v>19</v>
      </c>
      <c r="J6" s="51" t="str">
        <f t="shared" ref="J6:J82" si="5">A6&amp;""&amp;B6&amp;""&amp;C6&amp;""&amp;D6&amp;E6&amp;F6</f>
        <v>356EE360E1</v>
      </c>
      <c r="K6" s="52" t="str">
        <f t="shared" si="3"/>
        <v>EX90 Twin Motor Performance AWD Automatikgetriebe einstufig Plus (6-Sitzer)</v>
      </c>
      <c r="L6" s="52" t="str">
        <f>VLOOKUP(A6,Typ!$A$1:$B$99,2,FALSE)</f>
        <v>EX90</v>
      </c>
      <c r="M6" s="52" t="str">
        <f>VLOOKUP(B6,Motor!$A$1:$B$45,2,FALSE)</f>
        <v>Twin Motor Performance AWD</v>
      </c>
      <c r="N6" s="52" t="str">
        <f>VLOOKUP(E6,Getriebe!$B$1:$C$93,2,FALSE)</f>
        <v>Automatikgetriebe einstufig</v>
      </c>
      <c r="O6" s="52" t="str">
        <f t="shared" si="4"/>
        <v>EX90_36</v>
      </c>
      <c r="P6" s="18" t="str">
        <f>IF(C6=32,"",VLOOKUP(O6,Ausstattungslinie!$B$1:$D$732,2,FALSE))</f>
        <v>Plus (6-Sitzer)</v>
      </c>
    </row>
    <row r="7" spans="1:22" hidden="1">
      <c r="A7" s="17">
        <v>356</v>
      </c>
      <c r="B7" s="49" t="s">
        <v>16</v>
      </c>
      <c r="C7" s="49">
        <v>37</v>
      </c>
      <c r="D7" s="50">
        <v>0</v>
      </c>
      <c r="E7" s="49" t="s">
        <v>17</v>
      </c>
      <c r="F7" s="50">
        <v>1</v>
      </c>
      <c r="G7" s="50">
        <v>19</v>
      </c>
      <c r="J7" s="51" t="str">
        <f t="shared" ref="J7" si="6">A7&amp;""&amp;B7&amp;""&amp;C7&amp;""&amp;D7&amp;E7&amp;F7</f>
        <v>356EE370E1</v>
      </c>
      <c r="K7" s="52" t="str">
        <f t="shared" ref="K7" si="7">L7&amp;" "&amp;M7&amp;" "&amp;N7&amp;" "&amp;P7</f>
        <v>EX90 Twin Motor Performance AWD Automatikgetriebe einstufig Plus (7-Sitzer)</v>
      </c>
      <c r="L7" s="52" t="str">
        <f>VLOOKUP(A7,Typ!$A$1:$B$99,2,FALSE)</f>
        <v>EX90</v>
      </c>
      <c r="M7" s="52" t="str">
        <f>VLOOKUP(B7,Motor!$A$1:$B$45,2,FALSE)</f>
        <v>Twin Motor Performance AWD</v>
      </c>
      <c r="N7" s="52" t="str">
        <f>VLOOKUP(E7,Getriebe!$B$1:$C$93,2,FALSE)</f>
        <v>Automatikgetriebe einstufig</v>
      </c>
      <c r="O7" s="52" t="str">
        <f t="shared" ref="O7" si="8">L7&amp;"_"&amp;C7</f>
        <v>EX90_37</v>
      </c>
      <c r="P7" s="18" t="str">
        <f>IF(C7=32,"",VLOOKUP(O7,Ausstattungslinie!$B$1:$D$732,2,FALSE))</f>
        <v>Plus (7-Sitzer)</v>
      </c>
    </row>
    <row r="8" spans="1:22" hidden="1">
      <c r="A8" s="17">
        <v>356</v>
      </c>
      <c r="B8" s="49" t="s">
        <v>16</v>
      </c>
      <c r="C8" s="49">
        <v>66</v>
      </c>
      <c r="D8" s="50">
        <v>0</v>
      </c>
      <c r="E8" s="49" t="s">
        <v>17</v>
      </c>
      <c r="F8" s="50">
        <v>1</v>
      </c>
      <c r="G8" s="50">
        <v>19</v>
      </c>
      <c r="J8" s="51" t="str">
        <f t="shared" si="5"/>
        <v>356EE660E1</v>
      </c>
      <c r="K8" s="52" t="str">
        <f t="shared" si="3"/>
        <v>EX90 Twin Motor Performance AWD Automatikgetriebe einstufig Ultra (6-Sitzer)</v>
      </c>
      <c r="L8" s="52" t="str">
        <f>VLOOKUP(A8,Typ!$A$1:$B$99,2,FALSE)</f>
        <v>EX90</v>
      </c>
      <c r="M8" s="52" t="str">
        <f>VLOOKUP(B8,Motor!$A$1:$B$45,2,FALSE)</f>
        <v>Twin Motor Performance AWD</v>
      </c>
      <c r="N8" s="52" t="str">
        <f>VLOOKUP(E8,Getriebe!$B$1:$C$93,2,FALSE)</f>
        <v>Automatikgetriebe einstufig</v>
      </c>
      <c r="O8" s="52" t="str">
        <f t="shared" si="4"/>
        <v>EX90_66</v>
      </c>
      <c r="P8" s="18" t="str">
        <f>IF(C8=32,"",VLOOKUP(O8,Ausstattungslinie!$B$1:$D$732,2,FALSE))</f>
        <v>Ultra (6-Sitzer)</v>
      </c>
    </row>
    <row r="9" spans="1:22" hidden="1">
      <c r="A9" s="17">
        <v>356</v>
      </c>
      <c r="B9" s="49" t="s">
        <v>16</v>
      </c>
      <c r="C9" s="49">
        <v>67</v>
      </c>
      <c r="D9" s="50">
        <v>0</v>
      </c>
      <c r="E9" s="49" t="s">
        <v>17</v>
      </c>
      <c r="F9" s="50">
        <v>1</v>
      </c>
      <c r="G9" s="50">
        <v>19</v>
      </c>
      <c r="J9" s="51" t="str">
        <f t="shared" si="5"/>
        <v>356EE670E1</v>
      </c>
      <c r="K9" s="52" t="str">
        <f t="shared" si="3"/>
        <v>EX90 Twin Motor Performance AWD Automatikgetriebe einstufig Ultra (7-Sitzer)</v>
      </c>
      <c r="L9" s="52" t="str">
        <f>VLOOKUP(A9,Typ!$A$1:$B$99,2,FALSE)</f>
        <v>EX90</v>
      </c>
      <c r="M9" s="52" t="str">
        <f>VLOOKUP(B9,Motor!$A$1:$B$45,2,FALSE)</f>
        <v>Twin Motor Performance AWD</v>
      </c>
      <c r="N9" s="52" t="str">
        <f>VLOOKUP(E9,Getriebe!$B$1:$C$93,2,FALSE)</f>
        <v>Automatikgetriebe einstufig</v>
      </c>
      <c r="O9" s="52" t="str">
        <f>L9&amp;"_"&amp;C9</f>
        <v>EX90_67</v>
      </c>
      <c r="P9" s="18" t="str">
        <f>IF(C9=32,"",VLOOKUP(O9,Ausstattungslinie!$B$1:$D$732,2,FALSE))</f>
        <v>Ultra (7-Sitzer)</v>
      </c>
    </row>
    <row r="10" spans="1:22" hidden="1">
      <c r="A10" s="17">
        <v>356</v>
      </c>
      <c r="B10" s="49" t="s">
        <v>18</v>
      </c>
      <c r="C10" s="49">
        <v>15</v>
      </c>
      <c r="D10" s="50">
        <v>0</v>
      </c>
      <c r="E10" s="49" t="s">
        <v>19</v>
      </c>
      <c r="F10" s="50">
        <v>1</v>
      </c>
      <c r="G10" s="50">
        <v>19</v>
      </c>
      <c r="J10" s="51" t="str">
        <f t="shared" si="5"/>
        <v>356EN150L1</v>
      </c>
      <c r="K10" s="52" t="str">
        <f t="shared" si="3"/>
        <v>EX90 Single Motor RWD Automatikgetriebe einstufig Core (5-Sitzer)</v>
      </c>
      <c r="L10" s="52" t="str">
        <f>VLOOKUP(A10,Typ!$A$1:$B$99,2,FALSE)</f>
        <v>EX90</v>
      </c>
      <c r="M10" s="52" t="str">
        <f>VLOOKUP(B10,Motor!$A$1:$B$45,2,FALSE)</f>
        <v>Single Motor RWD</v>
      </c>
      <c r="N10" s="52" t="str">
        <f>VLOOKUP(E10,Getriebe!$B$1:$C$93,2,FALSE)</f>
        <v>Automatikgetriebe einstufig</v>
      </c>
      <c r="O10" s="52" t="str">
        <f t="shared" si="4"/>
        <v>EX90_15</v>
      </c>
      <c r="P10" s="18" t="str">
        <f>IF(C10=32,"",VLOOKUP(O10,Ausstattungslinie!$B$1:$D$732,2,FALSE))</f>
        <v>Core (5-Sitzer)</v>
      </c>
    </row>
    <row r="11" spans="1:22" hidden="1">
      <c r="A11" s="17">
        <v>356</v>
      </c>
      <c r="B11" s="49" t="s">
        <v>18</v>
      </c>
      <c r="C11" s="49">
        <v>16</v>
      </c>
      <c r="D11" s="50">
        <v>0</v>
      </c>
      <c r="E11" s="49" t="s">
        <v>19</v>
      </c>
      <c r="F11" s="50">
        <v>1</v>
      </c>
      <c r="G11" s="50">
        <v>19</v>
      </c>
      <c r="J11" s="51" t="str">
        <f t="shared" si="5"/>
        <v>356EN160L1</v>
      </c>
      <c r="K11" s="52" t="str">
        <f t="shared" si="3"/>
        <v>EX90 Single Motor RWD Automatikgetriebe einstufig Core (6-Sitzer)</v>
      </c>
      <c r="L11" s="52" t="str">
        <f>VLOOKUP(A11,Typ!$A$1:$B$99,2,FALSE)</f>
        <v>EX90</v>
      </c>
      <c r="M11" s="52" t="str">
        <f>VLOOKUP(B11,Motor!$A$1:$B$45,2,FALSE)</f>
        <v>Single Motor RWD</v>
      </c>
      <c r="N11" s="52" t="str">
        <f>VLOOKUP(E11,Getriebe!$B$1:$C$93,2,FALSE)</f>
        <v>Automatikgetriebe einstufig</v>
      </c>
      <c r="O11" s="52" t="str">
        <f t="shared" si="4"/>
        <v>EX90_16</v>
      </c>
      <c r="P11" s="18" t="str">
        <f>IF(C11=32,"",VLOOKUP(O11,Ausstattungslinie!$B$1:$D$732,2,FALSE))</f>
        <v>Core (6-Sitzer)</v>
      </c>
    </row>
    <row r="12" spans="1:22" hidden="1">
      <c r="A12" s="17">
        <v>356</v>
      </c>
      <c r="B12" s="49" t="s">
        <v>18</v>
      </c>
      <c r="C12" s="49">
        <v>17</v>
      </c>
      <c r="D12" s="50">
        <v>0</v>
      </c>
      <c r="E12" s="49" t="s">
        <v>19</v>
      </c>
      <c r="F12" s="50">
        <v>1</v>
      </c>
      <c r="G12" s="50">
        <v>19</v>
      </c>
      <c r="J12" s="51" t="str">
        <f t="shared" si="5"/>
        <v>356EN170L1</v>
      </c>
      <c r="K12" s="52" t="str">
        <f t="shared" si="3"/>
        <v>EX90 Single Motor RWD Automatikgetriebe einstufig Core (7-Sitzer)</v>
      </c>
      <c r="L12" s="52" t="str">
        <f>VLOOKUP(A12,Typ!$A$1:$B$99,2,FALSE)</f>
        <v>EX90</v>
      </c>
      <c r="M12" s="52" t="str">
        <f>VLOOKUP(B12,Motor!$A$1:$B$45,2,FALSE)</f>
        <v>Single Motor RWD</v>
      </c>
      <c r="N12" s="52" t="str">
        <f>VLOOKUP(E12,Getriebe!$B$1:$C$93,2,FALSE)</f>
        <v>Automatikgetriebe einstufig</v>
      </c>
      <c r="O12" s="52" t="str">
        <f t="shared" si="4"/>
        <v>EX90_17</v>
      </c>
      <c r="P12" s="18" t="str">
        <f>IF(C12=32,"",VLOOKUP(O12,Ausstattungslinie!$B$1:$D$732,2,FALSE))</f>
        <v>Core (7-Sitzer)</v>
      </c>
    </row>
    <row r="13" spans="1:22" hidden="1">
      <c r="A13" s="17">
        <v>356</v>
      </c>
      <c r="B13" s="49" t="s">
        <v>18</v>
      </c>
      <c r="C13" s="49">
        <v>36</v>
      </c>
      <c r="D13" s="50">
        <v>0</v>
      </c>
      <c r="E13" s="50" t="s">
        <v>19</v>
      </c>
      <c r="F13" s="50">
        <v>1</v>
      </c>
      <c r="G13" s="50">
        <v>19</v>
      </c>
      <c r="J13" s="51" t="str">
        <f t="shared" si="5"/>
        <v>356EN360L1</v>
      </c>
      <c r="K13" s="52" t="str">
        <f t="shared" si="3"/>
        <v>EX90 Single Motor RWD Automatikgetriebe einstufig Plus (6-Sitzer)</v>
      </c>
      <c r="L13" s="52" t="str">
        <f>VLOOKUP(A13,Typ!$A$1:$B$99,2,FALSE)</f>
        <v>EX90</v>
      </c>
      <c r="M13" s="52" t="str">
        <f>VLOOKUP(B13,Motor!$A$1:$B$45,2,FALSE)</f>
        <v>Single Motor RWD</v>
      </c>
      <c r="N13" s="52" t="str">
        <f>VLOOKUP(E13,Getriebe!$B$1:$C$93,2,FALSE)</f>
        <v>Automatikgetriebe einstufig</v>
      </c>
      <c r="O13" s="52" t="str">
        <f t="shared" si="4"/>
        <v>EX90_36</v>
      </c>
      <c r="P13" s="18" t="str">
        <f>IF(C13=32,"",VLOOKUP(O13,Ausstattungslinie!$B$1:$D$732,2,FALSE))</f>
        <v>Plus (6-Sitzer)</v>
      </c>
    </row>
    <row r="14" spans="1:22" hidden="1">
      <c r="A14" s="17">
        <v>356</v>
      </c>
      <c r="B14" s="49" t="s">
        <v>18</v>
      </c>
      <c r="C14" s="49">
        <v>37</v>
      </c>
      <c r="D14" s="50">
        <v>0</v>
      </c>
      <c r="E14" s="50" t="s">
        <v>19</v>
      </c>
      <c r="F14" s="50">
        <v>1</v>
      </c>
      <c r="G14" s="50">
        <v>19</v>
      </c>
      <c r="J14" s="51" t="str">
        <f t="shared" si="5"/>
        <v>356EN370L1</v>
      </c>
      <c r="K14" s="52" t="str">
        <f t="shared" si="3"/>
        <v>EX90 Single Motor RWD Automatikgetriebe einstufig Plus (7-Sitzer)</v>
      </c>
      <c r="L14" s="52" t="str">
        <f>VLOOKUP(A14,Typ!$A$1:$B$99,2,FALSE)</f>
        <v>EX90</v>
      </c>
      <c r="M14" s="52" t="str">
        <f>VLOOKUP(B14,Motor!$A$1:$B$45,2,FALSE)</f>
        <v>Single Motor RWD</v>
      </c>
      <c r="N14" s="52" t="str">
        <f>VLOOKUP(E14,Getriebe!$B$1:$C$93,2,FALSE)</f>
        <v>Automatikgetriebe einstufig</v>
      </c>
      <c r="O14" s="52" t="str">
        <f t="shared" si="4"/>
        <v>EX90_37</v>
      </c>
      <c r="P14" s="18" t="str">
        <f>IF(C14=32,"",VLOOKUP(O14,Ausstattungslinie!$B$1:$D$732,2,FALSE))</f>
        <v>Plus (7-Sitzer)</v>
      </c>
    </row>
    <row r="15" spans="1:22" hidden="1">
      <c r="A15" s="17">
        <v>356</v>
      </c>
      <c r="B15" s="49" t="s">
        <v>20</v>
      </c>
      <c r="C15" s="49">
        <v>16</v>
      </c>
      <c r="D15" s="50">
        <v>0</v>
      </c>
      <c r="E15" s="50" t="s">
        <v>17</v>
      </c>
      <c r="F15" s="50">
        <v>1</v>
      </c>
      <c r="G15" s="50">
        <v>19</v>
      </c>
      <c r="J15" s="51" t="str">
        <f t="shared" si="5"/>
        <v>356EV160E1</v>
      </c>
      <c r="K15" s="52" t="str">
        <f t="shared" si="3"/>
        <v>EX90 Twin Motor AWD Automatikgetriebe einstufig Core (6-Sitzer)</v>
      </c>
      <c r="L15" s="52" t="str">
        <f>VLOOKUP(A15,Typ!$A$1:$B$99,2,FALSE)</f>
        <v>EX90</v>
      </c>
      <c r="M15" s="52" t="str">
        <f>VLOOKUP(B15,Motor!$A$1:$B$45,2,FALSE)</f>
        <v>Twin Motor AWD</v>
      </c>
      <c r="N15" s="52" t="str">
        <f>VLOOKUP(E15,Getriebe!$B$1:$C$93,2,FALSE)</f>
        <v>Automatikgetriebe einstufig</v>
      </c>
      <c r="O15" s="52" t="str">
        <f t="shared" si="4"/>
        <v>EX90_16</v>
      </c>
      <c r="P15" s="18" t="str">
        <f>IF(C15=32,"",VLOOKUP(O15,Ausstattungslinie!$B$1:$D$732,2,FALSE))</f>
        <v>Core (6-Sitzer)</v>
      </c>
    </row>
    <row r="16" spans="1:22" hidden="1">
      <c r="A16" s="17">
        <v>356</v>
      </c>
      <c r="B16" s="49" t="s">
        <v>20</v>
      </c>
      <c r="C16" s="49">
        <v>17</v>
      </c>
      <c r="D16" s="50">
        <v>0</v>
      </c>
      <c r="E16" s="50" t="s">
        <v>17</v>
      </c>
      <c r="F16" s="50">
        <v>1</v>
      </c>
      <c r="G16" s="50">
        <v>19</v>
      </c>
      <c r="J16" s="51" t="str">
        <f t="shared" si="5"/>
        <v>356EV170E1</v>
      </c>
      <c r="K16" s="52" t="str">
        <f t="shared" si="3"/>
        <v>EX90 Twin Motor AWD Automatikgetriebe einstufig Core (7-Sitzer)</v>
      </c>
      <c r="L16" s="52" t="str">
        <f>VLOOKUP(A16,Typ!$A$1:$B$99,2,FALSE)</f>
        <v>EX90</v>
      </c>
      <c r="M16" s="52" t="str">
        <f>VLOOKUP(B16,Motor!$A$1:$B$45,2,FALSE)</f>
        <v>Twin Motor AWD</v>
      </c>
      <c r="N16" s="52" t="str">
        <f>VLOOKUP(E16,Getriebe!$B$1:$C$93,2,FALSE)</f>
        <v>Automatikgetriebe einstufig</v>
      </c>
      <c r="O16" s="52" t="str">
        <f t="shared" si="4"/>
        <v>EX90_17</v>
      </c>
      <c r="P16" s="18" t="str">
        <f>IF(C16=32,"",VLOOKUP(O16,Ausstattungslinie!$B$1:$D$732,2,FALSE))</f>
        <v>Core (7-Sitzer)</v>
      </c>
    </row>
    <row r="17" spans="1:16" hidden="1">
      <c r="A17" s="17">
        <v>356</v>
      </c>
      <c r="B17" s="49" t="s">
        <v>20</v>
      </c>
      <c r="C17" s="49">
        <v>36</v>
      </c>
      <c r="D17" s="50">
        <v>0</v>
      </c>
      <c r="E17" s="50" t="s">
        <v>17</v>
      </c>
      <c r="F17" s="50">
        <v>1</v>
      </c>
      <c r="G17" s="50">
        <v>19</v>
      </c>
      <c r="J17" s="51" t="str">
        <f t="shared" si="5"/>
        <v>356EV360E1</v>
      </c>
      <c r="K17" s="52" t="str">
        <f t="shared" si="3"/>
        <v>EX90 Twin Motor AWD Automatikgetriebe einstufig Plus (6-Sitzer)</v>
      </c>
      <c r="L17" s="52" t="str">
        <f>VLOOKUP(A17,Typ!$A$1:$B$99,2,FALSE)</f>
        <v>EX90</v>
      </c>
      <c r="M17" s="52" t="str">
        <f>VLOOKUP(B17,Motor!$A$1:$B$45,2,FALSE)</f>
        <v>Twin Motor AWD</v>
      </c>
      <c r="N17" s="52" t="str">
        <f>VLOOKUP(E17,Getriebe!$B$1:$C$93,2,FALSE)</f>
        <v>Automatikgetriebe einstufig</v>
      </c>
      <c r="O17" s="52" t="str">
        <f t="shared" si="4"/>
        <v>EX90_36</v>
      </c>
      <c r="P17" s="18" t="str">
        <f>IF(C17=32,"",VLOOKUP(O17,Ausstattungslinie!$B$1:$D$732,2,FALSE))</f>
        <v>Plus (6-Sitzer)</v>
      </c>
    </row>
    <row r="18" spans="1:16" hidden="1">
      <c r="A18" s="17">
        <v>356</v>
      </c>
      <c r="B18" s="49" t="s">
        <v>20</v>
      </c>
      <c r="C18" s="49">
        <v>37</v>
      </c>
      <c r="D18" s="50">
        <v>0</v>
      </c>
      <c r="E18" s="50" t="s">
        <v>17</v>
      </c>
      <c r="F18" s="50">
        <v>1</v>
      </c>
      <c r="G18" s="50">
        <v>19</v>
      </c>
      <c r="J18" s="51" t="str">
        <f t="shared" si="5"/>
        <v>356EV370E1</v>
      </c>
      <c r="K18" s="52" t="str">
        <f t="shared" si="3"/>
        <v>EX90 Twin Motor AWD Automatikgetriebe einstufig Plus (7-Sitzer)</v>
      </c>
      <c r="L18" s="52" t="str">
        <f>VLOOKUP(A18,Typ!$A$1:$B$99,2,FALSE)</f>
        <v>EX90</v>
      </c>
      <c r="M18" s="52" t="str">
        <f>VLOOKUP(B18,Motor!$A$1:$B$45,2,FALSE)</f>
        <v>Twin Motor AWD</v>
      </c>
      <c r="N18" s="52" t="str">
        <f>VLOOKUP(E18,Getriebe!$B$1:$C$93,2,FALSE)</f>
        <v>Automatikgetriebe einstufig</v>
      </c>
      <c r="O18" s="52" t="str">
        <f>L18&amp;"_"&amp;C18</f>
        <v>EX90_37</v>
      </c>
      <c r="P18" s="18" t="str">
        <f>IF(C18=32,"",VLOOKUP(O18,Ausstattungslinie!$B$1:$D$732,2,FALSE))</f>
        <v>Plus (7-Sitzer)</v>
      </c>
    </row>
    <row r="19" spans="1:16" hidden="1">
      <c r="A19" s="17">
        <v>356</v>
      </c>
      <c r="B19" s="49" t="s">
        <v>20</v>
      </c>
      <c r="C19" s="49">
        <v>66</v>
      </c>
      <c r="D19" s="50">
        <v>0</v>
      </c>
      <c r="E19" s="50" t="s">
        <v>17</v>
      </c>
      <c r="F19" s="50">
        <v>1</v>
      </c>
      <c r="G19" s="50">
        <v>19</v>
      </c>
      <c r="J19" s="51" t="str">
        <f t="shared" si="5"/>
        <v>356EV660E1</v>
      </c>
      <c r="K19" s="52" t="str">
        <f t="shared" si="3"/>
        <v>EX90 Twin Motor AWD Automatikgetriebe einstufig Ultra (6-Sitzer)</v>
      </c>
      <c r="L19" s="52" t="str">
        <f>VLOOKUP(A19,Typ!$A$1:$B$99,2,FALSE)</f>
        <v>EX90</v>
      </c>
      <c r="M19" s="52" t="str">
        <f>VLOOKUP(B19,Motor!$A$1:$B$45,2,FALSE)</f>
        <v>Twin Motor AWD</v>
      </c>
      <c r="N19" s="52" t="str">
        <f>VLOOKUP(E19,Getriebe!$B$1:$C$93,2,FALSE)</f>
        <v>Automatikgetriebe einstufig</v>
      </c>
      <c r="O19" s="52" t="str">
        <f t="shared" si="4"/>
        <v>EX90_66</v>
      </c>
      <c r="P19" s="18" t="str">
        <f>IF(C19=32,"",VLOOKUP(O19,Ausstattungslinie!$B$1:$D$732,2,FALSE))</f>
        <v>Ultra (6-Sitzer)</v>
      </c>
    </row>
    <row r="20" spans="1:16" hidden="1">
      <c r="A20" s="25">
        <v>356</v>
      </c>
      <c r="B20" s="26" t="s">
        <v>20</v>
      </c>
      <c r="C20" s="26">
        <v>67</v>
      </c>
      <c r="D20" s="27">
        <v>0</v>
      </c>
      <c r="E20" s="27" t="s">
        <v>17</v>
      </c>
      <c r="F20" s="27">
        <v>1</v>
      </c>
      <c r="G20" s="27">
        <v>19</v>
      </c>
      <c r="H20" s="28"/>
      <c r="I20" s="28"/>
      <c r="J20" s="29" t="str">
        <f t="shared" si="5"/>
        <v>356EV670E1</v>
      </c>
      <c r="K20" s="30" t="str">
        <f t="shared" si="3"/>
        <v>EX90 Twin Motor AWD Automatikgetriebe einstufig Ultra (7-Sitzer)</v>
      </c>
      <c r="L20" s="30" t="str">
        <f>VLOOKUP(A20,Typ!$A$1:$B$99,2,FALSE)</f>
        <v>EX90</v>
      </c>
      <c r="M20" s="30" t="str">
        <f>VLOOKUP(B20,Motor!$A$1:$B$45,2,FALSE)</f>
        <v>Twin Motor AWD</v>
      </c>
      <c r="N20" s="30" t="str">
        <f>VLOOKUP(E20,Getriebe!$B$1:$C$93,2,FALSE)</f>
        <v>Automatikgetriebe einstufig</v>
      </c>
      <c r="O20" s="30" t="str">
        <f t="shared" si="4"/>
        <v>EX90_67</v>
      </c>
      <c r="P20" s="31" t="str">
        <f>IF(C20=32,"",VLOOKUP(O20,Ausstattungslinie!$B$1:$D$732,2,FALSE))</f>
        <v>Ultra (7-Sitzer)</v>
      </c>
    </row>
    <row r="21" spans="1:16" hidden="1">
      <c r="A21" s="32">
        <v>256</v>
      </c>
      <c r="B21" s="33" t="s">
        <v>21</v>
      </c>
      <c r="C21" s="33" t="s">
        <v>22</v>
      </c>
      <c r="D21" s="34">
        <v>0</v>
      </c>
      <c r="E21" s="34" t="s">
        <v>23</v>
      </c>
      <c r="F21" s="34">
        <v>1</v>
      </c>
      <c r="G21" s="34">
        <v>19</v>
      </c>
      <c r="H21" s="35"/>
      <c r="I21" s="35"/>
      <c r="J21" s="36" t="str">
        <f t="shared" si="5"/>
        <v>256H7H30D1</v>
      </c>
      <c r="K21" s="37" t="str">
        <f t="shared" si="3"/>
        <v>XC90 T8 AWD 8-Gang Automatikgetriebe Plus Bright (7-Sitzer)</v>
      </c>
      <c r="L21" s="37" t="str">
        <f>VLOOKUP(A21,Typ!$A$1:$B$99,2,FALSE)</f>
        <v>XC90</v>
      </c>
      <c r="M21" s="37" t="str">
        <f>VLOOKUP(B21,Motor!$A$1:$B$45,2,FALSE)</f>
        <v>T8 AWD</v>
      </c>
      <c r="N21" s="37" t="str">
        <f>VLOOKUP(E21,Getriebe!$B$1:$C$93,2,FALSE)</f>
        <v>8-Gang Automatikgetriebe</v>
      </c>
      <c r="O21" s="37" t="str">
        <f t="shared" si="4"/>
        <v>XC90_H3</v>
      </c>
      <c r="P21" s="38" t="str">
        <f>IF(C21=32,"",VLOOKUP(O21,Ausstattungslinie!$B$1:$D$732,2,FALSE))</f>
        <v>Plus Bright (7-Sitzer)</v>
      </c>
    </row>
    <row r="22" spans="1:16" hidden="1">
      <c r="A22" s="17">
        <v>256</v>
      </c>
      <c r="B22" s="49" t="s">
        <v>21</v>
      </c>
      <c r="C22" s="49" t="s">
        <v>21</v>
      </c>
      <c r="D22" s="50">
        <v>0</v>
      </c>
      <c r="E22" s="50" t="s">
        <v>23</v>
      </c>
      <c r="F22" s="50">
        <v>1</v>
      </c>
      <c r="G22" s="50">
        <v>19</v>
      </c>
      <c r="J22" s="51" t="str">
        <f t="shared" si="5"/>
        <v>256H7H70D1</v>
      </c>
      <c r="K22" s="52" t="str">
        <f t="shared" si="3"/>
        <v>XC90 T8 AWD 8-Gang Automatikgetriebe Core (7-Sitzer)</v>
      </c>
      <c r="L22" s="52" t="str">
        <f>VLOOKUP(A22,Typ!$A$1:$B$99,2,FALSE)</f>
        <v>XC90</v>
      </c>
      <c r="M22" s="52" t="str">
        <f>VLOOKUP(B22,Motor!$A$1:$B$45,2,FALSE)</f>
        <v>T8 AWD</v>
      </c>
      <c r="N22" s="52" t="str">
        <f>VLOOKUP(E22,Getriebe!$B$1:$C$93,2,FALSE)</f>
        <v>8-Gang Automatikgetriebe</v>
      </c>
      <c r="O22" s="52" t="str">
        <f t="shared" si="4"/>
        <v>XC90_H7</v>
      </c>
      <c r="P22" s="18" t="str">
        <f>IF(C22=32,"",VLOOKUP(O22,Ausstattungslinie!$B$1:$D$732,2,FALSE))</f>
        <v>Core (7-Sitzer)</v>
      </c>
    </row>
    <row r="23" spans="1:16" hidden="1">
      <c r="A23" s="17">
        <v>256</v>
      </c>
      <c r="B23" s="49" t="s">
        <v>21</v>
      </c>
      <c r="C23" s="49" t="s">
        <v>24</v>
      </c>
      <c r="D23" s="50">
        <v>0</v>
      </c>
      <c r="E23" s="50" t="s">
        <v>23</v>
      </c>
      <c r="F23" s="50">
        <v>1</v>
      </c>
      <c r="G23" s="50">
        <v>19</v>
      </c>
      <c r="J23" s="51" t="str">
        <f t="shared" si="5"/>
        <v>256H7H80D1</v>
      </c>
      <c r="K23" s="52" t="str">
        <f t="shared" si="3"/>
        <v>XC90 T8 AWD 8-Gang Automatikgetriebe Ultra Bright (7-Sitzer)</v>
      </c>
      <c r="L23" s="52" t="str">
        <f>VLOOKUP(A23,Typ!$A$1:$B$99,2,FALSE)</f>
        <v>XC90</v>
      </c>
      <c r="M23" s="52" t="str">
        <f>VLOOKUP(B23,Motor!$A$1:$B$45,2,FALSE)</f>
        <v>T8 AWD</v>
      </c>
      <c r="N23" s="52" t="str">
        <f>VLOOKUP(E23,Getriebe!$B$1:$C$93,2,FALSE)</f>
        <v>8-Gang Automatikgetriebe</v>
      </c>
      <c r="O23" s="52" t="str">
        <f t="shared" si="4"/>
        <v>XC90_H8</v>
      </c>
      <c r="P23" s="18" t="str">
        <f>IF(C23=32,"",VLOOKUP(O23,Ausstattungslinie!$B$1:$D$732,2,FALSE))</f>
        <v>Ultra Bright (7-Sitzer)</v>
      </c>
    </row>
    <row r="24" spans="1:16" hidden="1">
      <c r="A24" s="17">
        <v>256</v>
      </c>
      <c r="B24" s="49" t="s">
        <v>21</v>
      </c>
      <c r="C24" s="49" t="s">
        <v>25</v>
      </c>
      <c r="D24" s="50">
        <v>0</v>
      </c>
      <c r="E24" s="50" t="s">
        <v>23</v>
      </c>
      <c r="F24" s="50">
        <v>1</v>
      </c>
      <c r="G24" s="50">
        <v>19</v>
      </c>
      <c r="J24" s="51" t="str">
        <f t="shared" si="5"/>
        <v>256H7VC0D1</v>
      </c>
      <c r="K24" s="52" t="str">
        <f t="shared" si="3"/>
        <v>XC90 T8 AWD 8-Gang Automatikgetriebe Ultra Dark (7-Sitzer)</v>
      </c>
      <c r="L24" s="52" t="str">
        <f>VLOOKUP(A24,Typ!$A$1:$B$99,2,FALSE)</f>
        <v>XC90</v>
      </c>
      <c r="M24" s="52" t="str">
        <f>VLOOKUP(B24,Motor!$A$1:$B$45,2,FALSE)</f>
        <v>T8 AWD</v>
      </c>
      <c r="N24" s="52" t="str">
        <f>VLOOKUP(E24,Getriebe!$B$1:$C$93,2,FALSE)</f>
        <v>8-Gang Automatikgetriebe</v>
      </c>
      <c r="O24" s="52" t="str">
        <f t="shared" si="4"/>
        <v>XC90_VC</v>
      </c>
      <c r="P24" s="18" t="str">
        <f>IF(C24=32,"",VLOOKUP(O24,Ausstattungslinie!$B$1:$D$732,2,FALSE))</f>
        <v>Ultra Dark (7-Sitzer)</v>
      </c>
    </row>
    <row r="25" spans="1:16" hidden="1">
      <c r="A25" s="17">
        <v>256</v>
      </c>
      <c r="B25" s="49" t="s">
        <v>21</v>
      </c>
      <c r="C25" s="49" t="s">
        <v>26</v>
      </c>
      <c r="D25" s="50">
        <v>0</v>
      </c>
      <c r="E25" s="50" t="s">
        <v>23</v>
      </c>
      <c r="F25" s="50">
        <v>1</v>
      </c>
      <c r="G25" s="50">
        <v>19</v>
      </c>
      <c r="J25" s="51" t="str">
        <f t="shared" ref="J25" si="9">A25&amp;""&amp;B25&amp;""&amp;C25&amp;""&amp;D25&amp;E25&amp;F25</f>
        <v>256H7V70D1</v>
      </c>
      <c r="K25" s="52" t="str">
        <f t="shared" ref="K25" si="10">L25&amp;" "&amp;M25&amp;" "&amp;N25&amp;" "&amp;P25</f>
        <v>XC90 T8 AWD 8-Gang Automatikgetriebe Plus Dark (7-Sitzer)</v>
      </c>
      <c r="L25" s="52" t="str">
        <f>VLOOKUP(A25,Typ!$A$1:$B$99,2,FALSE)</f>
        <v>XC90</v>
      </c>
      <c r="M25" s="52" t="str">
        <f>VLOOKUP(B25,Motor!$A$1:$B$45,2,FALSE)</f>
        <v>T8 AWD</v>
      </c>
      <c r="N25" s="52" t="str">
        <f>VLOOKUP(E25,Getriebe!$B$1:$C$93,2,FALSE)</f>
        <v>8-Gang Automatikgetriebe</v>
      </c>
      <c r="O25" s="52" t="str">
        <f t="shared" ref="O25" si="11">L25&amp;"_"&amp;C25</f>
        <v>XC90_V7</v>
      </c>
      <c r="P25" s="18" t="str">
        <f>IF(C25=32,"",VLOOKUP(O25,Ausstattungslinie!$B$1:$D$732,2,FALSE))</f>
        <v>Plus Dark (7-Sitzer)</v>
      </c>
    </row>
    <row r="26" spans="1:16" hidden="1">
      <c r="A26" s="17">
        <v>256</v>
      </c>
      <c r="B26" s="49" t="s">
        <v>27</v>
      </c>
      <c r="C26" s="49">
        <v>23</v>
      </c>
      <c r="D26" s="50">
        <v>0</v>
      </c>
      <c r="E26" s="50" t="s">
        <v>28</v>
      </c>
      <c r="F26" s="50">
        <v>1</v>
      </c>
      <c r="G26" s="50">
        <v>19</v>
      </c>
      <c r="J26" s="51" t="str">
        <f t="shared" si="5"/>
        <v>256M1230C1</v>
      </c>
      <c r="K26" s="52" t="str">
        <f t="shared" si="3"/>
        <v>XC90 B5 (B) 8-Gang Automatikgetriebe Plus Bright (7-Sitzer)</v>
      </c>
      <c r="L26" s="52" t="str">
        <f>VLOOKUP(A26,Typ!$A$1:$B$99,2,FALSE)</f>
        <v>XC90</v>
      </c>
      <c r="M26" s="52" t="str">
        <f>VLOOKUP(B26,Motor!$A$1:$B$45,2,FALSE)</f>
        <v>B5 (B)</v>
      </c>
      <c r="N26" s="52" t="str">
        <f>VLOOKUP(E26,Getriebe!$B$1:$C$93,2,FALSE)</f>
        <v>8-Gang Automatikgetriebe</v>
      </c>
      <c r="O26" s="52" t="str">
        <f t="shared" si="4"/>
        <v>XC90_23</v>
      </c>
      <c r="P26" s="18" t="str">
        <f>IF(C26=32,"",VLOOKUP(O26,Ausstattungslinie!$B$1:$D$732,2,FALSE))</f>
        <v>Plus Bright (7-Sitzer)</v>
      </c>
    </row>
    <row r="27" spans="1:16" hidden="1">
      <c r="A27" s="17">
        <v>256</v>
      </c>
      <c r="B27" s="49" t="s">
        <v>27</v>
      </c>
      <c r="C27" s="49">
        <v>27</v>
      </c>
      <c r="D27" s="50">
        <v>0</v>
      </c>
      <c r="E27" s="50" t="s">
        <v>28</v>
      </c>
      <c r="F27" s="50">
        <v>1</v>
      </c>
      <c r="G27" s="50">
        <v>19</v>
      </c>
      <c r="J27" s="51" t="str">
        <f t="shared" ref="J27:J39" si="12">A27&amp;""&amp;B27&amp;""&amp;C27&amp;""&amp;D27&amp;E27&amp;F27</f>
        <v>256M1270C1</v>
      </c>
      <c r="K27" s="52" t="str">
        <f t="shared" ref="K27:K39" si="13">L27&amp;" "&amp;M27&amp;" "&amp;N27&amp;" "&amp;P27</f>
        <v>XC90 B5 (B) 8-Gang Automatikgetriebe Core (7-Sitzer)</v>
      </c>
      <c r="L27" s="52" t="str">
        <f>VLOOKUP(A27,Typ!$A$1:$B$99,2,FALSE)</f>
        <v>XC90</v>
      </c>
      <c r="M27" s="52" t="str">
        <f>VLOOKUP(B27,Motor!$A$1:$B$45,2,FALSE)</f>
        <v>B5 (B)</v>
      </c>
      <c r="N27" s="52" t="str">
        <f>VLOOKUP(E27,Getriebe!$B$1:$C$93,2,FALSE)</f>
        <v>8-Gang Automatikgetriebe</v>
      </c>
      <c r="O27" s="52" t="str">
        <f t="shared" ref="O27:O39" si="14">L27&amp;"_"&amp;C27</f>
        <v>XC90_27</v>
      </c>
      <c r="P27" s="18" t="str">
        <f>IF(C27=32,"",VLOOKUP(O27,Ausstattungslinie!$B$1:$D$732,2,FALSE))</f>
        <v>Core (7-Sitzer)</v>
      </c>
    </row>
    <row r="28" spans="1:16" hidden="1">
      <c r="A28" s="25">
        <v>256</v>
      </c>
      <c r="B28" s="26" t="s">
        <v>27</v>
      </c>
      <c r="C28" s="26">
        <v>28</v>
      </c>
      <c r="D28" s="27">
        <v>0</v>
      </c>
      <c r="E28" s="27" t="s">
        <v>28</v>
      </c>
      <c r="F28" s="27">
        <v>1</v>
      </c>
      <c r="G28" s="27">
        <v>19</v>
      </c>
      <c r="H28" s="28"/>
      <c r="I28" s="28"/>
      <c r="J28" s="29" t="str">
        <f t="shared" si="12"/>
        <v>256M1280C1</v>
      </c>
      <c r="K28" s="30" t="str">
        <f t="shared" si="13"/>
        <v>XC90 B5 (B) 8-Gang Automatikgetriebe Ultra Bright (7-Sitzer)</v>
      </c>
      <c r="L28" s="30" t="str">
        <f>VLOOKUP(A28,Typ!$A$1:$B$99,2,FALSE)</f>
        <v>XC90</v>
      </c>
      <c r="M28" s="30" t="str">
        <f>VLOOKUP(B28,Motor!$A$1:$B$45,2,FALSE)</f>
        <v>B5 (B)</v>
      </c>
      <c r="N28" s="30" t="str">
        <f>VLOOKUP(E28,Getriebe!$B$1:$C$93,2,FALSE)</f>
        <v>8-Gang Automatikgetriebe</v>
      </c>
      <c r="O28" s="30" t="str">
        <f t="shared" si="14"/>
        <v>XC90_28</v>
      </c>
      <c r="P28" s="31" t="str">
        <f>IF(C28=32,"",VLOOKUP(O28,Ausstattungslinie!$B$1:$D$732,2,FALSE))</f>
        <v>Ultra Bright (7-Sitzer)</v>
      </c>
    </row>
    <row r="29" spans="1:16" hidden="1">
      <c r="A29" s="32">
        <v>235</v>
      </c>
      <c r="B29" s="33" t="s">
        <v>29</v>
      </c>
      <c r="C29" s="33" t="s">
        <v>30</v>
      </c>
      <c r="D29" s="34">
        <v>0</v>
      </c>
      <c r="E29" s="34" t="s">
        <v>23</v>
      </c>
      <c r="F29" s="34">
        <v>1</v>
      </c>
      <c r="G29" s="34">
        <v>19</v>
      </c>
      <c r="H29" s="35"/>
      <c r="I29" s="35"/>
      <c r="J29" s="36" t="str">
        <f t="shared" si="12"/>
        <v>235H1G20D1</v>
      </c>
      <c r="K29" s="37" t="str">
        <f t="shared" si="13"/>
        <v>V90 T6 AWD 8-Gang Automatikgetriebe Essential</v>
      </c>
      <c r="L29" s="37" t="str">
        <f>VLOOKUP(A29,Typ!$A$1:$B$99,2,FALSE)</f>
        <v>V90</v>
      </c>
      <c r="M29" s="37" t="str">
        <f>VLOOKUP(B29,Motor!$A$1:$B$45,2,FALSE)</f>
        <v>T6 AWD</v>
      </c>
      <c r="N29" s="37" t="str">
        <f>VLOOKUP(E29,Getriebe!$B$1:$C$93,2,FALSE)</f>
        <v>8-Gang Automatikgetriebe</v>
      </c>
      <c r="O29" s="37" t="str">
        <f t="shared" si="14"/>
        <v>V90_G2</v>
      </c>
      <c r="P29" s="38" t="str">
        <f>IF(C29=32,"",VLOOKUP(O29,Ausstattungslinie!$B$1:$D$732,2,FALSE))</f>
        <v>Essential</v>
      </c>
    </row>
    <row r="30" spans="1:16" hidden="1">
      <c r="A30" s="17">
        <v>235</v>
      </c>
      <c r="B30" s="49" t="s">
        <v>29</v>
      </c>
      <c r="C30" s="49" t="s">
        <v>31</v>
      </c>
      <c r="D30" s="50">
        <v>0</v>
      </c>
      <c r="E30" s="50" t="s">
        <v>23</v>
      </c>
      <c r="F30" s="50">
        <v>1</v>
      </c>
      <c r="G30" s="50">
        <v>19</v>
      </c>
      <c r="H30" s="53" t="s">
        <v>32</v>
      </c>
      <c r="I30" s="53"/>
      <c r="J30" s="51" t="str">
        <f t="shared" si="12"/>
        <v>235H1G30D1</v>
      </c>
      <c r="K30" s="52" t="str">
        <f t="shared" si="13"/>
        <v>V90 T6 AWD 8-Gang Automatikgetriebe Plus Bright</v>
      </c>
      <c r="L30" s="52" t="str">
        <f>VLOOKUP(A30,Typ!$A$1:$B$99,2,FALSE)</f>
        <v>V90</v>
      </c>
      <c r="M30" s="52" t="str">
        <f>VLOOKUP(B30,Motor!$A$1:$B$45,2,FALSE)</f>
        <v>T6 AWD</v>
      </c>
      <c r="N30" s="52" t="str">
        <f>VLOOKUP(E30,Getriebe!$B$1:$C$93,2,FALSE)</f>
        <v>8-Gang Automatikgetriebe</v>
      </c>
      <c r="O30" s="52" t="str">
        <f t="shared" si="14"/>
        <v>V90_G3</v>
      </c>
      <c r="P30" s="18" t="str">
        <f>IF(C30=32,"",VLOOKUP(O30,Ausstattungslinie!$B$1:$D$732,2,FALSE))</f>
        <v>Plus Bright</v>
      </c>
    </row>
    <row r="31" spans="1:16" hidden="1">
      <c r="A31" s="17">
        <v>235</v>
      </c>
      <c r="B31" s="49" t="s">
        <v>29</v>
      </c>
      <c r="C31" s="49" t="s">
        <v>33</v>
      </c>
      <c r="D31" s="50">
        <v>0</v>
      </c>
      <c r="E31" s="50" t="s">
        <v>23</v>
      </c>
      <c r="F31" s="50">
        <v>1</v>
      </c>
      <c r="G31" s="50">
        <v>19</v>
      </c>
      <c r="H31" s="53"/>
      <c r="I31" s="53"/>
      <c r="J31" s="51" t="str">
        <f t="shared" si="12"/>
        <v>235H1G70D1</v>
      </c>
      <c r="K31" s="52" t="str">
        <f t="shared" si="13"/>
        <v>V90 T6 AWD 8-Gang Automatikgetriebe Core</v>
      </c>
      <c r="L31" s="52" t="str">
        <f>VLOOKUP(A31,Typ!$A$1:$B$99,2,FALSE)</f>
        <v>V90</v>
      </c>
      <c r="M31" s="52" t="str">
        <f>VLOOKUP(B31,Motor!$A$1:$B$45,2,FALSE)</f>
        <v>T6 AWD</v>
      </c>
      <c r="N31" s="52" t="str">
        <f>VLOOKUP(E31,Getriebe!$B$1:$C$93,2,FALSE)</f>
        <v>8-Gang Automatikgetriebe</v>
      </c>
      <c r="O31" s="52" t="str">
        <f t="shared" si="14"/>
        <v>V90_G7</v>
      </c>
      <c r="P31" s="18" t="str">
        <f>IF(C31=32,"",VLOOKUP(O31,Ausstattungslinie!$B$1:$D$732,2,FALSE))</f>
        <v>Core</v>
      </c>
    </row>
    <row r="32" spans="1:16" hidden="1">
      <c r="A32" s="17">
        <v>235</v>
      </c>
      <c r="B32" s="49" t="s">
        <v>29</v>
      </c>
      <c r="C32" s="49" t="s">
        <v>34</v>
      </c>
      <c r="D32" s="50">
        <v>0</v>
      </c>
      <c r="E32" s="50" t="s">
        <v>23</v>
      </c>
      <c r="F32" s="50">
        <v>1</v>
      </c>
      <c r="G32" s="50">
        <v>19</v>
      </c>
      <c r="H32" s="53" t="s">
        <v>32</v>
      </c>
      <c r="I32" s="53"/>
      <c r="J32" s="51" t="str">
        <f t="shared" si="12"/>
        <v>235H1G80D1</v>
      </c>
      <c r="K32" s="52" t="str">
        <f t="shared" si="13"/>
        <v>V90 T6 AWD 8-Gang Automatikgetriebe Ultra Bright</v>
      </c>
      <c r="L32" s="52" t="str">
        <f>VLOOKUP(A32,Typ!$A$1:$B$99,2,FALSE)</f>
        <v>V90</v>
      </c>
      <c r="M32" s="52" t="str">
        <f>VLOOKUP(B32,Motor!$A$1:$B$45,2,FALSE)</f>
        <v>T6 AWD</v>
      </c>
      <c r="N32" s="52" t="str">
        <f>VLOOKUP(E32,Getriebe!$B$1:$C$93,2,FALSE)</f>
        <v>8-Gang Automatikgetriebe</v>
      </c>
      <c r="O32" s="52" t="str">
        <f t="shared" si="14"/>
        <v>V90_G8</v>
      </c>
      <c r="P32" s="18" t="str">
        <f>IF(C32=32,"",VLOOKUP(O32,Ausstattungslinie!$B$1:$D$732,2,FALSE))</f>
        <v>Ultra Bright</v>
      </c>
    </row>
    <row r="33" spans="1:16" hidden="1">
      <c r="A33" s="17">
        <v>235</v>
      </c>
      <c r="B33" s="49" t="s">
        <v>29</v>
      </c>
      <c r="C33" s="49" t="s">
        <v>35</v>
      </c>
      <c r="D33" s="50">
        <v>0</v>
      </c>
      <c r="E33" s="50" t="s">
        <v>23</v>
      </c>
      <c r="F33" s="50">
        <v>1</v>
      </c>
      <c r="G33" s="50">
        <v>19</v>
      </c>
      <c r="H33" s="53"/>
      <c r="I33" s="53"/>
      <c r="J33" s="51" t="str">
        <f t="shared" si="12"/>
        <v>235H1VA0D1</v>
      </c>
      <c r="K33" s="52" t="str">
        <f t="shared" si="13"/>
        <v>V90 T6 AWD 8-Gang Automatikgetriebe Ultra Dark</v>
      </c>
      <c r="L33" s="52" t="str">
        <f>VLOOKUP(A33,Typ!$A$1:$B$99,2,FALSE)</f>
        <v>V90</v>
      </c>
      <c r="M33" s="52" t="str">
        <f>VLOOKUP(B33,Motor!$A$1:$B$45,2,FALSE)</f>
        <v>T6 AWD</v>
      </c>
      <c r="N33" s="52" t="str">
        <f>VLOOKUP(E33,Getriebe!$B$1:$C$93,2,FALSE)</f>
        <v>8-Gang Automatikgetriebe</v>
      </c>
      <c r="O33" s="52" t="str">
        <f t="shared" si="14"/>
        <v>V90_VA</v>
      </c>
      <c r="P33" s="18" t="str">
        <f>IF(C33=32,"",VLOOKUP(O33,Ausstattungslinie!$B$1:$D$732,2,FALSE))</f>
        <v>Ultra Dark</v>
      </c>
    </row>
    <row r="34" spans="1:16" hidden="1">
      <c r="A34" s="17">
        <v>235</v>
      </c>
      <c r="B34" s="49" t="s">
        <v>29</v>
      </c>
      <c r="C34" s="49" t="s">
        <v>36</v>
      </c>
      <c r="D34" s="50">
        <v>0</v>
      </c>
      <c r="E34" s="50" t="s">
        <v>23</v>
      </c>
      <c r="F34" s="50">
        <v>1</v>
      </c>
      <c r="G34" s="50">
        <v>19</v>
      </c>
      <c r="H34" s="53" t="s">
        <v>32</v>
      </c>
      <c r="I34" s="53"/>
      <c r="J34" s="51" t="str">
        <f t="shared" si="12"/>
        <v>235H1V50D1</v>
      </c>
      <c r="K34" s="52" t="str">
        <f t="shared" si="13"/>
        <v>V90 T6 AWD 8-Gang Automatikgetriebe Plus Dark</v>
      </c>
      <c r="L34" s="52" t="str">
        <f>VLOOKUP(A34,Typ!$A$1:$B$99,2,FALSE)</f>
        <v>V90</v>
      </c>
      <c r="M34" s="52" t="str">
        <f>VLOOKUP(B34,Motor!$A$1:$B$45,2,FALSE)</f>
        <v>T6 AWD</v>
      </c>
      <c r="N34" s="52" t="str">
        <f>VLOOKUP(E34,Getriebe!$B$1:$C$93,2,FALSE)</f>
        <v>8-Gang Automatikgetriebe</v>
      </c>
      <c r="O34" s="52" t="str">
        <f t="shared" si="14"/>
        <v>V90_V5</v>
      </c>
      <c r="P34" s="18" t="str">
        <f>IF(C34=32,"",VLOOKUP(O34,Ausstattungslinie!$B$1:$D$732,2,FALSE))</f>
        <v>Plus Dark</v>
      </c>
    </row>
    <row r="35" spans="1:16" hidden="1">
      <c r="A35" s="17">
        <v>235</v>
      </c>
      <c r="B35" s="49" t="s">
        <v>37</v>
      </c>
      <c r="C35" s="49" t="s">
        <v>31</v>
      </c>
      <c r="D35" s="50">
        <v>0</v>
      </c>
      <c r="E35" s="50" t="s">
        <v>23</v>
      </c>
      <c r="F35" s="50">
        <v>1</v>
      </c>
      <c r="G35" s="50">
        <v>19</v>
      </c>
      <c r="H35" s="53"/>
      <c r="I35" s="53"/>
      <c r="J35" s="51" t="str">
        <f t="shared" si="12"/>
        <v>235H5G30D1</v>
      </c>
      <c r="K35" s="52" t="str">
        <f t="shared" si="13"/>
        <v>V90 T8 AWD 8-Gang Automatikgetriebe Plus Bright</v>
      </c>
      <c r="L35" s="52" t="str">
        <f>VLOOKUP(A35,Typ!$A$1:$B$99,2,FALSE)</f>
        <v>V90</v>
      </c>
      <c r="M35" s="52" t="str">
        <f>VLOOKUP(B35,Motor!$A$1:$B$45,2,FALSE)</f>
        <v>T8 AWD</v>
      </c>
      <c r="N35" s="52" t="str">
        <f>VLOOKUP(E35,Getriebe!$B$1:$C$93,2,FALSE)</f>
        <v>8-Gang Automatikgetriebe</v>
      </c>
      <c r="O35" s="52" t="str">
        <f t="shared" si="14"/>
        <v>V90_G3</v>
      </c>
      <c r="P35" s="18" t="str">
        <f>IF(C35=32,"",VLOOKUP(O35,Ausstattungslinie!$B$1:$D$732,2,FALSE))</f>
        <v>Plus Bright</v>
      </c>
    </row>
    <row r="36" spans="1:16" hidden="1">
      <c r="A36" s="17">
        <v>235</v>
      </c>
      <c r="B36" s="49" t="s">
        <v>37</v>
      </c>
      <c r="C36" s="49" t="s">
        <v>34</v>
      </c>
      <c r="D36" s="50">
        <v>0</v>
      </c>
      <c r="E36" s="50" t="s">
        <v>23</v>
      </c>
      <c r="F36" s="50">
        <v>1</v>
      </c>
      <c r="G36" s="50">
        <v>19</v>
      </c>
      <c r="H36" s="53" t="s">
        <v>32</v>
      </c>
      <c r="I36" s="53"/>
      <c r="J36" s="51" t="str">
        <f t="shared" si="12"/>
        <v>235H5G80D1</v>
      </c>
      <c r="K36" s="52" t="str">
        <f t="shared" si="13"/>
        <v>V90 T8 AWD 8-Gang Automatikgetriebe Ultra Bright</v>
      </c>
      <c r="L36" s="52" t="str">
        <f>VLOOKUP(A36,Typ!$A$1:$B$99,2,FALSE)</f>
        <v>V90</v>
      </c>
      <c r="M36" s="52" t="str">
        <f>VLOOKUP(B36,Motor!$A$1:$B$45,2,FALSE)</f>
        <v>T8 AWD</v>
      </c>
      <c r="N36" s="52" t="str">
        <f>VLOOKUP(E36,Getriebe!$B$1:$C$93,2,FALSE)</f>
        <v>8-Gang Automatikgetriebe</v>
      </c>
      <c r="O36" s="52" t="str">
        <f t="shared" si="14"/>
        <v>V90_G8</v>
      </c>
      <c r="P36" s="18" t="str">
        <f>IF(C36=32,"",VLOOKUP(O36,Ausstattungslinie!$B$1:$D$732,2,FALSE))</f>
        <v>Ultra Bright</v>
      </c>
    </row>
    <row r="37" spans="1:16" hidden="1">
      <c r="A37" s="17">
        <v>235</v>
      </c>
      <c r="B37" s="49" t="s">
        <v>37</v>
      </c>
      <c r="C37" s="49" t="s">
        <v>35</v>
      </c>
      <c r="D37" s="50">
        <v>0</v>
      </c>
      <c r="E37" s="50" t="s">
        <v>23</v>
      </c>
      <c r="F37" s="50">
        <v>1</v>
      </c>
      <c r="G37" s="50">
        <v>19</v>
      </c>
      <c r="H37" s="53"/>
      <c r="I37" s="53"/>
      <c r="J37" s="51" t="str">
        <f t="shared" si="12"/>
        <v>235H5VA0D1</v>
      </c>
      <c r="K37" s="52" t="str">
        <f t="shared" si="13"/>
        <v>V90 T8 AWD 8-Gang Automatikgetriebe Ultra Dark</v>
      </c>
      <c r="L37" s="52" t="str">
        <f>VLOOKUP(A37,Typ!$A$1:$B$99,2,FALSE)</f>
        <v>V90</v>
      </c>
      <c r="M37" s="52" t="str">
        <f>VLOOKUP(B37,Motor!$A$1:$B$45,2,FALSE)</f>
        <v>T8 AWD</v>
      </c>
      <c r="N37" s="52" t="str">
        <f>VLOOKUP(E37,Getriebe!$B$1:$C$93,2,FALSE)</f>
        <v>8-Gang Automatikgetriebe</v>
      </c>
      <c r="O37" s="52" t="str">
        <f t="shared" si="14"/>
        <v>V90_VA</v>
      </c>
      <c r="P37" s="18" t="str">
        <f>IF(C37=32,"",VLOOKUP(O37,Ausstattungslinie!$B$1:$D$732,2,FALSE))</f>
        <v>Ultra Dark</v>
      </c>
    </row>
    <row r="38" spans="1:16" hidden="1">
      <c r="A38" s="25">
        <v>235</v>
      </c>
      <c r="B38" s="26" t="s">
        <v>37</v>
      </c>
      <c r="C38" s="26" t="s">
        <v>36</v>
      </c>
      <c r="D38" s="27">
        <v>0</v>
      </c>
      <c r="E38" s="27" t="s">
        <v>23</v>
      </c>
      <c r="F38" s="27">
        <v>1</v>
      </c>
      <c r="G38" s="27">
        <v>19</v>
      </c>
      <c r="H38" s="39" t="s">
        <v>32</v>
      </c>
      <c r="I38" s="39"/>
      <c r="J38" s="29" t="str">
        <f t="shared" si="12"/>
        <v>235H5V50D1</v>
      </c>
      <c r="K38" s="30" t="str">
        <f t="shared" si="13"/>
        <v>V90 T8 AWD 8-Gang Automatikgetriebe Plus Dark</v>
      </c>
      <c r="L38" s="30" t="str">
        <f>VLOOKUP(A38,Typ!$A$1:$B$99,2,FALSE)</f>
        <v>V90</v>
      </c>
      <c r="M38" s="30" t="str">
        <f>VLOOKUP(B38,Motor!$A$1:$B$45,2,FALSE)</f>
        <v>T8 AWD</v>
      </c>
      <c r="N38" s="30" t="str">
        <f>VLOOKUP(E38,Getriebe!$B$1:$C$93,2,FALSE)</f>
        <v>8-Gang Automatikgetriebe</v>
      </c>
      <c r="O38" s="30" t="str">
        <f t="shared" si="14"/>
        <v>V90_V5</v>
      </c>
      <c r="P38" s="31" t="str">
        <f>IF(C38=32,"",VLOOKUP(O38,Ausstattungslinie!$B$1:$D$732,2,FALSE))</f>
        <v>Plus Dark</v>
      </c>
    </row>
    <row r="39" spans="1:16">
      <c r="A39" s="32">
        <v>246</v>
      </c>
      <c r="B39" s="33" t="s">
        <v>38</v>
      </c>
      <c r="C39" s="33" t="s">
        <v>39</v>
      </c>
      <c r="D39" s="34">
        <v>0</v>
      </c>
      <c r="E39" s="34" t="s">
        <v>23</v>
      </c>
      <c r="F39" s="34">
        <v>1</v>
      </c>
      <c r="G39" s="34">
        <v>19</v>
      </c>
      <c r="H39" s="40" t="s">
        <v>32</v>
      </c>
      <c r="I39" s="40"/>
      <c r="J39" s="36" t="str">
        <f t="shared" si="12"/>
        <v>246H4TA0D1</v>
      </c>
      <c r="K39" s="37" t="str">
        <f t="shared" si="13"/>
        <v>XC60 T6 AWD 8-Gang Automatikgetriebe Ultra Dark</v>
      </c>
      <c r="L39" s="37" t="str">
        <f>VLOOKUP(A39,Typ!$A$1:$B$99,2,FALSE)</f>
        <v>XC60</v>
      </c>
      <c r="M39" s="37" t="str">
        <f>VLOOKUP(B39,Motor!$A$1:$B$45,2,FALSE)</f>
        <v>T6 AWD</v>
      </c>
      <c r="N39" s="37" t="str">
        <f>VLOOKUP(E39,Getriebe!$B$1:$C$93,2,FALSE)</f>
        <v>8-Gang Automatikgetriebe</v>
      </c>
      <c r="O39" s="37" t="str">
        <f t="shared" si="14"/>
        <v>XC60_TA</v>
      </c>
      <c r="P39" s="38" t="str">
        <f>IF(C39=32,"",VLOOKUP(O39,Ausstattungslinie!$B$1:$D$732,2,FALSE))</f>
        <v>Ultra Dark</v>
      </c>
    </row>
    <row r="40" spans="1:16">
      <c r="A40" s="17">
        <v>246</v>
      </c>
      <c r="B40" s="49" t="s">
        <v>38</v>
      </c>
      <c r="C40" s="49" t="s">
        <v>40</v>
      </c>
      <c r="D40" s="50">
        <v>0</v>
      </c>
      <c r="E40" s="50" t="s">
        <v>23</v>
      </c>
      <c r="F40" s="50">
        <v>1</v>
      </c>
      <c r="G40" s="50">
        <v>19</v>
      </c>
      <c r="H40" s="53" t="s">
        <v>32</v>
      </c>
      <c r="I40" s="53"/>
      <c r="J40" s="51" t="str">
        <f t="shared" si="5"/>
        <v>246H4TD0D1</v>
      </c>
      <c r="K40" s="52" t="str">
        <f t="shared" si="3"/>
        <v>XC60 T6 AWD 8-Gang Automatikgetriebe Plus Black Edition</v>
      </c>
      <c r="L40" s="52" t="str">
        <f>VLOOKUP(A40,Typ!$A$1:$B$99,2,FALSE)</f>
        <v>XC60</v>
      </c>
      <c r="M40" s="52" t="str">
        <f>VLOOKUP(B40,Motor!$A$1:$B$45,2,FALSE)</f>
        <v>T6 AWD</v>
      </c>
      <c r="N40" s="52" t="str">
        <f>VLOOKUP(E40,Getriebe!$B$1:$C$93,2,FALSE)</f>
        <v>8-Gang Automatikgetriebe</v>
      </c>
      <c r="O40" s="52" t="str">
        <f t="shared" si="4"/>
        <v>XC60_TD</v>
      </c>
      <c r="P40" s="18" t="str">
        <f>IF(C40=32,"",VLOOKUP(O40,Ausstattungslinie!$B$1:$D$732,2,FALSE))</f>
        <v>Plus Black Edition</v>
      </c>
    </row>
    <row r="41" spans="1:16">
      <c r="A41" s="17">
        <v>246</v>
      </c>
      <c r="B41" s="49" t="s">
        <v>38</v>
      </c>
      <c r="C41" s="49" t="s">
        <v>41</v>
      </c>
      <c r="D41" s="50">
        <v>0</v>
      </c>
      <c r="E41" s="50" t="s">
        <v>23</v>
      </c>
      <c r="F41" s="50">
        <v>1</v>
      </c>
      <c r="G41" s="50">
        <v>19</v>
      </c>
      <c r="H41" s="53" t="s">
        <v>32</v>
      </c>
      <c r="I41" s="53"/>
      <c r="J41" s="51" t="str">
        <f t="shared" si="5"/>
        <v>246H4TE0D1</v>
      </c>
      <c r="K41" s="52" t="str">
        <f t="shared" si="3"/>
        <v>XC60 T6 AWD 8-Gang Automatikgetriebe Ultra Black Edition</v>
      </c>
      <c r="L41" s="52" t="str">
        <f>VLOOKUP(A41,Typ!$A$1:$B$99,2,FALSE)</f>
        <v>XC60</v>
      </c>
      <c r="M41" s="52" t="str">
        <f>VLOOKUP(B41,Motor!$A$1:$B$45,2,FALSE)</f>
        <v>T6 AWD</v>
      </c>
      <c r="N41" s="52" t="str">
        <f>VLOOKUP(E41,Getriebe!$B$1:$C$93,2,FALSE)</f>
        <v>8-Gang Automatikgetriebe</v>
      </c>
      <c r="O41" s="52" t="str">
        <f t="shared" si="4"/>
        <v>XC60_TE</v>
      </c>
      <c r="P41" s="18" t="str">
        <f>IF(C41=32,"",VLOOKUP(O41,Ausstattungslinie!$B$1:$D$732,2,FALSE))</f>
        <v>Ultra Black Edition</v>
      </c>
    </row>
    <row r="42" spans="1:16">
      <c r="A42" s="17">
        <v>246</v>
      </c>
      <c r="B42" s="49" t="s">
        <v>38</v>
      </c>
      <c r="C42" s="49" t="s">
        <v>42</v>
      </c>
      <c r="D42" s="50">
        <v>0</v>
      </c>
      <c r="E42" s="50" t="s">
        <v>23</v>
      </c>
      <c r="F42" s="50">
        <v>1</v>
      </c>
      <c r="G42" s="50">
        <v>19</v>
      </c>
      <c r="H42" s="53" t="s">
        <v>32</v>
      </c>
      <c r="I42" s="53"/>
      <c r="J42" s="51" t="str">
        <f t="shared" si="5"/>
        <v>246H4TR0D1</v>
      </c>
      <c r="K42" s="52" t="str">
        <f t="shared" si="3"/>
        <v>XC60 T6 AWD 8-Gang Automatikgetriebe Plus Dark</v>
      </c>
      <c r="L42" s="52" t="str">
        <f>VLOOKUP(A42,Typ!$A$1:$B$99,2,FALSE)</f>
        <v>XC60</v>
      </c>
      <c r="M42" s="52" t="str">
        <f>VLOOKUP(B42,Motor!$A$1:$B$45,2,FALSE)</f>
        <v>T6 AWD</v>
      </c>
      <c r="N42" s="52" t="str">
        <f>VLOOKUP(E42,Getriebe!$B$1:$C$93,2,FALSE)</f>
        <v>8-Gang Automatikgetriebe</v>
      </c>
      <c r="O42" s="52" t="str">
        <f t="shared" si="4"/>
        <v>XC60_TR</v>
      </c>
      <c r="P42" s="18" t="str">
        <f>IF(C42=32,"",VLOOKUP(O42,Ausstattungslinie!$B$1:$D$732,2,FALSE))</f>
        <v>Plus Dark</v>
      </c>
    </row>
    <row r="43" spans="1:16">
      <c r="A43" s="17">
        <v>246</v>
      </c>
      <c r="B43" s="49" t="s">
        <v>38</v>
      </c>
      <c r="C43" s="49" t="s">
        <v>43</v>
      </c>
      <c r="D43" s="50">
        <v>0</v>
      </c>
      <c r="E43" s="50" t="s">
        <v>23</v>
      </c>
      <c r="F43" s="50">
        <v>1</v>
      </c>
      <c r="G43" s="50">
        <v>19</v>
      </c>
      <c r="H43" s="53" t="s">
        <v>32</v>
      </c>
      <c r="I43" s="53"/>
      <c r="J43" s="51" t="str">
        <f t="shared" si="5"/>
        <v>246H4T20D1</v>
      </c>
      <c r="K43" s="52" t="str">
        <f t="shared" si="3"/>
        <v>XC60 T6 AWD 8-Gang Automatikgetriebe Essential</v>
      </c>
      <c r="L43" s="52" t="str">
        <f>VLOOKUP(A43,Typ!$A$1:$B$99,2,FALSE)</f>
        <v>XC60</v>
      </c>
      <c r="M43" s="52" t="str">
        <f>VLOOKUP(B43,Motor!$A$1:$B$45,2,FALSE)</f>
        <v>T6 AWD</v>
      </c>
      <c r="N43" s="52" t="str">
        <f>VLOOKUP(E43,Getriebe!$B$1:$C$93,2,FALSE)</f>
        <v>8-Gang Automatikgetriebe</v>
      </c>
      <c r="O43" s="52" t="str">
        <f t="shared" si="4"/>
        <v>XC60_T2</v>
      </c>
      <c r="P43" s="18" t="str">
        <f>IF(C43=32,"",VLOOKUP(O43,Ausstattungslinie!$B$1:$D$732,2,FALSE))</f>
        <v>Essential</v>
      </c>
    </row>
    <row r="44" spans="1:16">
      <c r="A44" s="17">
        <v>246</v>
      </c>
      <c r="B44" s="49" t="s">
        <v>38</v>
      </c>
      <c r="C44" s="49" t="s">
        <v>44</v>
      </c>
      <c r="D44" s="50">
        <v>0</v>
      </c>
      <c r="E44" s="50" t="s">
        <v>23</v>
      </c>
      <c r="F44" s="50">
        <v>1</v>
      </c>
      <c r="G44" s="50">
        <v>19</v>
      </c>
      <c r="H44" s="53" t="s">
        <v>32</v>
      </c>
      <c r="I44" s="53"/>
      <c r="J44" s="51" t="str">
        <f t="shared" si="5"/>
        <v>246H4T30D1</v>
      </c>
      <c r="K44" s="52" t="str">
        <f t="shared" si="3"/>
        <v>XC60 T6 AWD 8-Gang Automatikgetriebe Plus Bright</v>
      </c>
      <c r="L44" s="52" t="str">
        <f>VLOOKUP(A44,Typ!$A$1:$B$99,2,FALSE)</f>
        <v>XC60</v>
      </c>
      <c r="M44" s="52" t="str">
        <f>VLOOKUP(B44,Motor!$A$1:$B$45,2,FALSE)</f>
        <v>T6 AWD</v>
      </c>
      <c r="N44" s="52" t="str">
        <f>VLOOKUP(E44,Getriebe!$B$1:$C$93,2,FALSE)</f>
        <v>8-Gang Automatikgetriebe</v>
      </c>
      <c r="O44" s="52" t="str">
        <f t="shared" si="4"/>
        <v>XC60_T3</v>
      </c>
      <c r="P44" s="18" t="str">
        <f>IF(C44=32,"",VLOOKUP(O44,Ausstattungslinie!$B$1:$D$732,2,FALSE))</f>
        <v>Plus Bright</v>
      </c>
    </row>
    <row r="45" spans="1:16">
      <c r="A45" s="17">
        <v>246</v>
      </c>
      <c r="B45" s="49" t="s">
        <v>38</v>
      </c>
      <c r="C45" s="49" t="s">
        <v>45</v>
      </c>
      <c r="D45" s="50">
        <v>0</v>
      </c>
      <c r="E45" s="50" t="s">
        <v>23</v>
      </c>
      <c r="F45" s="50">
        <v>1</v>
      </c>
      <c r="G45" s="50">
        <v>19</v>
      </c>
      <c r="H45" s="53" t="s">
        <v>32</v>
      </c>
      <c r="I45" s="53"/>
      <c r="J45" s="51" t="str">
        <f t="shared" si="5"/>
        <v>246H4T70D1</v>
      </c>
      <c r="K45" s="52" t="str">
        <f t="shared" si="3"/>
        <v>XC60 T6 AWD 8-Gang Automatikgetriebe Core</v>
      </c>
      <c r="L45" s="52" t="str">
        <f>VLOOKUP(A45,Typ!$A$1:$B$99,2,FALSE)</f>
        <v>XC60</v>
      </c>
      <c r="M45" s="52" t="str">
        <f>VLOOKUP(B45,Motor!$A$1:$B$45,2,FALSE)</f>
        <v>T6 AWD</v>
      </c>
      <c r="N45" s="52" t="str">
        <f>VLOOKUP(E45,Getriebe!$B$1:$C$93,2,FALSE)</f>
        <v>8-Gang Automatikgetriebe</v>
      </c>
      <c r="O45" s="52" t="str">
        <f t="shared" si="4"/>
        <v>XC60_T7</v>
      </c>
      <c r="P45" s="18" t="str">
        <f>IF(C45=32,"",VLOOKUP(O45,Ausstattungslinie!$B$1:$D$732,2,FALSE))</f>
        <v>Core</v>
      </c>
    </row>
    <row r="46" spans="1:16">
      <c r="A46" s="17">
        <v>246</v>
      </c>
      <c r="B46" s="49" t="s">
        <v>38</v>
      </c>
      <c r="C46" s="49" t="s">
        <v>46</v>
      </c>
      <c r="D46" s="50">
        <v>0</v>
      </c>
      <c r="E46" s="50" t="s">
        <v>23</v>
      </c>
      <c r="F46" s="50">
        <v>1</v>
      </c>
      <c r="G46" s="50">
        <v>19</v>
      </c>
      <c r="H46" s="53" t="s">
        <v>32</v>
      </c>
      <c r="I46" s="53"/>
      <c r="J46" s="51" t="str">
        <f t="shared" si="5"/>
        <v>246H4T80D1</v>
      </c>
      <c r="K46" s="52" t="str">
        <f t="shared" si="3"/>
        <v>XC60 T6 AWD 8-Gang Automatikgetriebe Ultra Bright</v>
      </c>
      <c r="L46" s="52" t="str">
        <f>VLOOKUP(A46,Typ!$A$1:$B$99,2,FALSE)</f>
        <v>XC60</v>
      </c>
      <c r="M46" s="52" t="str">
        <f>VLOOKUP(B46,Motor!$A$1:$B$45,2,FALSE)</f>
        <v>T6 AWD</v>
      </c>
      <c r="N46" s="52" t="str">
        <f>VLOOKUP(E46,Getriebe!$B$1:$C$93,2,FALSE)</f>
        <v>8-Gang Automatikgetriebe</v>
      </c>
      <c r="O46" s="52" t="str">
        <f t="shared" si="4"/>
        <v>XC60_T8</v>
      </c>
      <c r="P46" s="18" t="str">
        <f>IF(C46=32,"",VLOOKUP(O46,Ausstattungslinie!$B$1:$D$732,2,FALSE))</f>
        <v>Ultra Bright</v>
      </c>
    </row>
    <row r="47" spans="1:16">
      <c r="A47" s="17">
        <v>246</v>
      </c>
      <c r="B47" s="49" t="s">
        <v>21</v>
      </c>
      <c r="C47" s="49" t="s">
        <v>47</v>
      </c>
      <c r="D47" s="50">
        <v>0</v>
      </c>
      <c r="E47" s="50" t="s">
        <v>23</v>
      </c>
      <c r="F47" s="50">
        <v>1</v>
      </c>
      <c r="G47" s="50">
        <v>19</v>
      </c>
      <c r="H47" s="53" t="s">
        <v>32</v>
      </c>
      <c r="I47" s="53"/>
      <c r="J47" s="51" t="str">
        <f t="shared" si="5"/>
        <v>246H7P50D1</v>
      </c>
      <c r="K47" s="52" t="str">
        <f t="shared" si="3"/>
        <v>XC60 T8 AWD 8-Gang Automatikgetriebe Polestar Engineered</v>
      </c>
      <c r="L47" s="52" t="str">
        <f>VLOOKUP(A47,Typ!$A$1:$B$99,2,FALSE)</f>
        <v>XC60</v>
      </c>
      <c r="M47" s="52" t="str">
        <f>VLOOKUP(B47,Motor!$A$1:$B$45,2,FALSE)</f>
        <v>T8 AWD</v>
      </c>
      <c r="N47" s="52" t="str">
        <f>VLOOKUP(E47,Getriebe!$B$1:$C$93,2,FALSE)</f>
        <v>8-Gang Automatikgetriebe</v>
      </c>
      <c r="O47" s="52" t="str">
        <f t="shared" si="4"/>
        <v>XC60_P5</v>
      </c>
      <c r="P47" s="18" t="str">
        <f>IF(C47=32,"",VLOOKUP(O47,Ausstattungslinie!$B$1:$D$732,2,FALSE))</f>
        <v>Polestar Engineered</v>
      </c>
    </row>
    <row r="48" spans="1:16">
      <c r="A48" s="17">
        <v>246</v>
      </c>
      <c r="B48" s="49" t="s">
        <v>21</v>
      </c>
      <c r="C48" s="49" t="s">
        <v>39</v>
      </c>
      <c r="D48" s="50">
        <v>0</v>
      </c>
      <c r="E48" s="50" t="s">
        <v>23</v>
      </c>
      <c r="F48" s="50">
        <v>1</v>
      </c>
      <c r="G48" s="50">
        <v>19</v>
      </c>
      <c r="H48" s="53" t="s">
        <v>32</v>
      </c>
      <c r="I48" s="53"/>
      <c r="J48" s="51" t="str">
        <f t="shared" si="5"/>
        <v>246H7TA0D1</v>
      </c>
      <c r="K48" s="52" t="str">
        <f t="shared" si="3"/>
        <v>XC60 T8 AWD 8-Gang Automatikgetriebe Ultra Dark</v>
      </c>
      <c r="L48" s="52" t="str">
        <f>VLOOKUP(A48,Typ!$A$1:$B$99,2,FALSE)</f>
        <v>XC60</v>
      </c>
      <c r="M48" s="52" t="str">
        <f>VLOOKUP(B48,Motor!$A$1:$B$45,2,FALSE)</f>
        <v>T8 AWD</v>
      </c>
      <c r="N48" s="52" t="str">
        <f>VLOOKUP(E48,Getriebe!$B$1:$C$93,2,FALSE)</f>
        <v>8-Gang Automatikgetriebe</v>
      </c>
      <c r="O48" s="52" t="str">
        <f t="shared" si="4"/>
        <v>XC60_TA</v>
      </c>
      <c r="P48" s="18" t="str">
        <f>IF(C48=32,"",VLOOKUP(O48,Ausstattungslinie!$B$1:$D$732,2,FALSE))</f>
        <v>Ultra Dark</v>
      </c>
    </row>
    <row r="49" spans="1:16">
      <c r="A49" s="17">
        <v>246</v>
      </c>
      <c r="B49" s="49" t="s">
        <v>21</v>
      </c>
      <c r="C49" s="49" t="s">
        <v>40</v>
      </c>
      <c r="D49" s="50">
        <v>0</v>
      </c>
      <c r="E49" s="50" t="s">
        <v>23</v>
      </c>
      <c r="F49" s="50">
        <v>1</v>
      </c>
      <c r="G49" s="50">
        <v>19</v>
      </c>
      <c r="H49" s="53" t="s">
        <v>32</v>
      </c>
      <c r="I49" s="53"/>
      <c r="J49" s="51" t="str">
        <f t="shared" si="5"/>
        <v>246H7TD0D1</v>
      </c>
      <c r="K49" s="52" t="str">
        <f t="shared" si="3"/>
        <v>XC60 T8 AWD 8-Gang Automatikgetriebe Plus Black Edition</v>
      </c>
      <c r="L49" s="52" t="str">
        <f>VLOOKUP(A49,Typ!$A$1:$B$99,2,FALSE)</f>
        <v>XC60</v>
      </c>
      <c r="M49" s="52" t="str">
        <f>VLOOKUP(B49,Motor!$A$1:$B$45,2,FALSE)</f>
        <v>T8 AWD</v>
      </c>
      <c r="N49" s="52" t="str">
        <f>VLOOKUP(E49,Getriebe!$B$1:$C$93,2,FALSE)</f>
        <v>8-Gang Automatikgetriebe</v>
      </c>
      <c r="O49" s="52" t="str">
        <f t="shared" si="4"/>
        <v>XC60_TD</v>
      </c>
      <c r="P49" s="18" t="str">
        <f>IF(C49=32,"",VLOOKUP(O49,Ausstattungslinie!$B$1:$D$732,2,FALSE))</f>
        <v>Plus Black Edition</v>
      </c>
    </row>
    <row r="50" spans="1:16">
      <c r="A50" s="17">
        <v>246</v>
      </c>
      <c r="B50" s="49" t="s">
        <v>21</v>
      </c>
      <c r="C50" s="49" t="s">
        <v>41</v>
      </c>
      <c r="D50" s="50">
        <v>0</v>
      </c>
      <c r="E50" s="50" t="s">
        <v>23</v>
      </c>
      <c r="F50" s="50">
        <v>1</v>
      </c>
      <c r="G50" s="50">
        <v>19</v>
      </c>
      <c r="H50" s="53" t="s">
        <v>32</v>
      </c>
      <c r="I50" s="53"/>
      <c r="J50" s="51" t="str">
        <f t="shared" si="5"/>
        <v>246H7TE0D1</v>
      </c>
      <c r="K50" s="52" t="str">
        <f t="shared" si="3"/>
        <v>XC60 T8 AWD 8-Gang Automatikgetriebe Ultra Black Edition</v>
      </c>
      <c r="L50" s="52" t="str">
        <f>VLOOKUP(A50,Typ!$A$1:$B$99,2,FALSE)</f>
        <v>XC60</v>
      </c>
      <c r="M50" s="52" t="str">
        <f>VLOOKUP(B50,Motor!$A$1:$B$45,2,FALSE)</f>
        <v>T8 AWD</v>
      </c>
      <c r="N50" s="52" t="str">
        <f>VLOOKUP(E50,Getriebe!$B$1:$C$93,2,FALSE)</f>
        <v>8-Gang Automatikgetriebe</v>
      </c>
      <c r="O50" s="52" t="str">
        <f t="shared" si="4"/>
        <v>XC60_TE</v>
      </c>
      <c r="P50" s="18" t="str">
        <f>IF(C50=32,"",VLOOKUP(O50,Ausstattungslinie!$B$1:$D$732,2,FALSE))</f>
        <v>Ultra Black Edition</v>
      </c>
    </row>
    <row r="51" spans="1:16">
      <c r="A51" s="17">
        <v>246</v>
      </c>
      <c r="B51" s="49" t="s">
        <v>21</v>
      </c>
      <c r="C51" s="49" t="s">
        <v>42</v>
      </c>
      <c r="D51" s="50">
        <v>0</v>
      </c>
      <c r="E51" s="50" t="s">
        <v>23</v>
      </c>
      <c r="F51" s="50">
        <v>1</v>
      </c>
      <c r="G51" s="50">
        <v>19</v>
      </c>
      <c r="H51" s="53" t="s">
        <v>32</v>
      </c>
      <c r="I51" s="53"/>
      <c r="J51" s="51" t="str">
        <f t="shared" si="5"/>
        <v>246H7TR0D1</v>
      </c>
      <c r="K51" s="52" t="str">
        <f t="shared" si="3"/>
        <v>XC60 T8 AWD 8-Gang Automatikgetriebe Plus Dark</v>
      </c>
      <c r="L51" s="52" t="str">
        <f>VLOOKUP(A51,Typ!$A$1:$B$99,2,FALSE)</f>
        <v>XC60</v>
      </c>
      <c r="M51" s="52" t="str">
        <f>VLOOKUP(B51,Motor!$A$1:$B$45,2,FALSE)</f>
        <v>T8 AWD</v>
      </c>
      <c r="N51" s="52" t="str">
        <f>VLOOKUP(E51,Getriebe!$B$1:$C$93,2,FALSE)</f>
        <v>8-Gang Automatikgetriebe</v>
      </c>
      <c r="O51" s="52" t="str">
        <f t="shared" si="4"/>
        <v>XC60_TR</v>
      </c>
      <c r="P51" s="18" t="str">
        <f>IF(C51=32,"",VLOOKUP(O51,Ausstattungslinie!$B$1:$D$732,2,FALSE))</f>
        <v>Plus Dark</v>
      </c>
    </row>
    <row r="52" spans="1:16">
      <c r="A52" s="17">
        <v>246</v>
      </c>
      <c r="B52" s="49" t="s">
        <v>21</v>
      </c>
      <c r="C52" s="49" t="s">
        <v>44</v>
      </c>
      <c r="D52" s="50">
        <v>0</v>
      </c>
      <c r="E52" s="50" t="s">
        <v>23</v>
      </c>
      <c r="F52" s="50">
        <v>1</v>
      </c>
      <c r="G52" s="50">
        <v>19</v>
      </c>
      <c r="H52" s="53" t="s">
        <v>32</v>
      </c>
      <c r="I52" s="53"/>
      <c r="J52" s="51" t="str">
        <f t="shared" si="5"/>
        <v>246H7T30D1</v>
      </c>
      <c r="K52" s="52" t="str">
        <f t="shared" si="3"/>
        <v>XC60 T8 AWD 8-Gang Automatikgetriebe Plus Bright</v>
      </c>
      <c r="L52" s="52" t="str">
        <f>VLOOKUP(A52,Typ!$A$1:$B$99,2,FALSE)</f>
        <v>XC60</v>
      </c>
      <c r="M52" s="52" t="str">
        <f>VLOOKUP(B52,Motor!$A$1:$B$45,2,FALSE)</f>
        <v>T8 AWD</v>
      </c>
      <c r="N52" s="52" t="str">
        <f>VLOOKUP(E52,Getriebe!$B$1:$C$93,2,FALSE)</f>
        <v>8-Gang Automatikgetriebe</v>
      </c>
      <c r="O52" s="52" t="str">
        <f t="shared" si="4"/>
        <v>XC60_T3</v>
      </c>
      <c r="P52" s="18" t="str">
        <f>IF(C52=32,"",VLOOKUP(O52,Ausstattungslinie!$B$1:$D$732,2,FALSE))</f>
        <v>Plus Bright</v>
      </c>
    </row>
    <row r="53" spans="1:16">
      <c r="A53" s="17">
        <v>246</v>
      </c>
      <c r="B53" s="49" t="s">
        <v>21</v>
      </c>
      <c r="C53" s="49" t="s">
        <v>46</v>
      </c>
      <c r="D53" s="50">
        <v>0</v>
      </c>
      <c r="E53" s="50" t="s">
        <v>23</v>
      </c>
      <c r="F53" s="50">
        <v>1</v>
      </c>
      <c r="G53" s="50">
        <v>19</v>
      </c>
      <c r="J53" s="51" t="str">
        <f t="shared" si="5"/>
        <v>246H7T80D1</v>
      </c>
      <c r="K53" s="52" t="str">
        <f t="shared" si="3"/>
        <v>XC60 T8 AWD 8-Gang Automatikgetriebe Ultra Bright</v>
      </c>
      <c r="L53" s="52" t="str">
        <f>VLOOKUP(A53,Typ!$A$1:$B$99,2,FALSE)</f>
        <v>XC60</v>
      </c>
      <c r="M53" s="52" t="str">
        <f>VLOOKUP(B53,Motor!$A$1:$B$45,2,FALSE)</f>
        <v>T8 AWD</v>
      </c>
      <c r="N53" s="52" t="str">
        <f>VLOOKUP(E53,Getriebe!$B$1:$C$93,2,FALSE)</f>
        <v>8-Gang Automatikgetriebe</v>
      </c>
      <c r="O53" s="52" t="str">
        <f t="shared" si="4"/>
        <v>XC60_T8</v>
      </c>
      <c r="P53" s="18" t="str">
        <f>IF(C53=32,"",VLOOKUP(O53,Ausstattungslinie!$B$1:$D$732,2,FALSE))</f>
        <v>Ultra Bright</v>
      </c>
    </row>
    <row r="54" spans="1:16">
      <c r="A54" s="17">
        <v>246</v>
      </c>
      <c r="B54" s="49" t="s">
        <v>27</v>
      </c>
      <c r="C54" s="49" t="s">
        <v>48</v>
      </c>
      <c r="D54" s="50">
        <v>0</v>
      </c>
      <c r="E54" s="50" t="s">
        <v>28</v>
      </c>
      <c r="F54" s="50">
        <v>1</v>
      </c>
      <c r="G54" s="50">
        <v>19</v>
      </c>
      <c r="I54" s="53"/>
      <c r="J54" s="51" t="str">
        <f>A54&amp;""&amp;B54&amp;""&amp;C54&amp;""&amp;D54&amp;E54&amp;F54</f>
        <v>246M1RA0C1</v>
      </c>
      <c r="K54" s="52" t="str">
        <f t="shared" ref="K54:K55" si="15">L54&amp;" "&amp;M54&amp;" "&amp;N54&amp;" "&amp;P54</f>
        <v>XC60 B5 (B) 8-Gang Automatikgetriebe Ultra Dark</v>
      </c>
      <c r="L54" s="52" t="str">
        <f>VLOOKUP(A54,Typ!$A$1:$B$99,2,FALSE)</f>
        <v>XC60</v>
      </c>
      <c r="M54" s="52" t="str">
        <f>VLOOKUP(B54,Motor!$A$1:$B$45,2,FALSE)</f>
        <v>B5 (B)</v>
      </c>
      <c r="N54" s="52" t="str">
        <f>VLOOKUP(E54,Getriebe!$B$1:$C$93,2,FALSE)</f>
        <v>8-Gang Automatikgetriebe</v>
      </c>
      <c r="O54" s="52" t="str">
        <f t="shared" ref="O54:O55" si="16">L54&amp;"_"&amp;C54</f>
        <v>XC60_RA</v>
      </c>
      <c r="P54" s="18" t="str">
        <f>IF(C54=32,"",VLOOKUP(O54,Ausstattungslinie!$B$1:$D$732,2,FALSE))</f>
        <v>Ultra Dark</v>
      </c>
    </row>
    <row r="55" spans="1:16">
      <c r="A55" s="17">
        <v>246</v>
      </c>
      <c r="B55" s="49" t="s">
        <v>27</v>
      </c>
      <c r="C55" s="49" t="s">
        <v>49</v>
      </c>
      <c r="D55" s="50">
        <v>0</v>
      </c>
      <c r="E55" s="50" t="s">
        <v>28</v>
      </c>
      <c r="F55" s="50">
        <v>1</v>
      </c>
      <c r="G55" s="50">
        <v>19</v>
      </c>
      <c r="I55" s="53"/>
      <c r="J55" s="51" t="str">
        <f t="shared" ref="J55" si="17">A55&amp;""&amp;B55&amp;""&amp;C55&amp;""&amp;D55&amp;E55&amp;F55</f>
        <v>246M1RE0C1</v>
      </c>
      <c r="K55" s="52" t="str">
        <f t="shared" si="15"/>
        <v>XC60 B5 (B) 8-Gang Automatikgetriebe Ultra Black Edition</v>
      </c>
      <c r="L55" s="52" t="str">
        <f>VLOOKUP(A55,Typ!$A$1:$B$99,2,FALSE)</f>
        <v>XC60</v>
      </c>
      <c r="M55" s="52" t="str">
        <f>VLOOKUP(B55,Motor!$A$1:$B$45,2,FALSE)</f>
        <v>B5 (B)</v>
      </c>
      <c r="N55" s="52" t="str">
        <f>VLOOKUP(E55,Getriebe!$B$1:$C$93,2,FALSE)</f>
        <v>8-Gang Automatikgetriebe</v>
      </c>
      <c r="O55" s="52" t="str">
        <f t="shared" si="16"/>
        <v>XC60_RE</v>
      </c>
      <c r="P55" s="18" t="str">
        <f>IF(C55=32,"",VLOOKUP(O55,Ausstattungslinie!$B$1:$D$732,2,FALSE))</f>
        <v>Ultra Black Edition</v>
      </c>
    </row>
    <row r="56" spans="1:16">
      <c r="A56" s="17">
        <v>246</v>
      </c>
      <c r="B56" s="49" t="s">
        <v>27</v>
      </c>
      <c r="C56" s="49" t="s">
        <v>50</v>
      </c>
      <c r="D56" s="50">
        <v>0</v>
      </c>
      <c r="E56" s="50" t="s">
        <v>28</v>
      </c>
      <c r="F56" s="50">
        <v>1</v>
      </c>
      <c r="G56" s="50">
        <v>19</v>
      </c>
      <c r="I56" s="53"/>
      <c r="J56" s="51" t="str">
        <f t="shared" si="5"/>
        <v>246M1R50C1</v>
      </c>
      <c r="K56" s="52" t="str">
        <f t="shared" si="3"/>
        <v>XC60 B5 (B) 8-Gang Automatikgetriebe Plus Dark</v>
      </c>
      <c r="L56" s="52" t="str">
        <f>VLOOKUP(A56,Typ!$A$1:$B$99,2,FALSE)</f>
        <v>XC60</v>
      </c>
      <c r="M56" s="52" t="str">
        <f>VLOOKUP(B56,Motor!$A$1:$B$45,2,FALSE)</f>
        <v>B5 (B)</v>
      </c>
      <c r="N56" s="52" t="str">
        <f>VLOOKUP(E56,Getriebe!$B$1:$C$93,2,FALSE)</f>
        <v>8-Gang Automatikgetriebe</v>
      </c>
      <c r="O56" s="52" t="str">
        <f t="shared" si="4"/>
        <v>XC60_R5</v>
      </c>
      <c r="P56" s="18" t="str">
        <f>IF(C56=32,"",VLOOKUP(O56,Ausstattungslinie!$B$1:$D$732,2,FALSE))</f>
        <v>Plus Dark</v>
      </c>
    </row>
    <row r="57" spans="1:16">
      <c r="A57" s="17">
        <v>246</v>
      </c>
      <c r="B57" s="49" t="s">
        <v>27</v>
      </c>
      <c r="C57" s="49" t="s">
        <v>51</v>
      </c>
      <c r="D57" s="50">
        <v>0</v>
      </c>
      <c r="E57" s="50" t="s">
        <v>28</v>
      </c>
      <c r="F57" s="50">
        <v>1</v>
      </c>
      <c r="G57" s="50">
        <v>19</v>
      </c>
      <c r="I57" s="53"/>
      <c r="J57" s="51" t="str">
        <f t="shared" si="5"/>
        <v>246M1R90C1</v>
      </c>
      <c r="K57" s="52" t="str">
        <f t="shared" ref="K57:K60" si="18">L57&amp;" "&amp;M57&amp;" "&amp;N57&amp;" "&amp;P57</f>
        <v>XC60 B5 (B) 8-Gang Automatikgetriebe Plus Black Edition</v>
      </c>
      <c r="L57" s="52" t="str">
        <f>VLOOKUP(A57,Typ!$A$1:$B$99,2,FALSE)</f>
        <v>XC60</v>
      </c>
      <c r="M57" s="52" t="str">
        <f>VLOOKUP(B57,Motor!$A$1:$B$45,2,FALSE)</f>
        <v>B5 (B)</v>
      </c>
      <c r="N57" s="52" t="str">
        <f>VLOOKUP(E57,Getriebe!$B$1:$C$93,2,FALSE)</f>
        <v>8-Gang Automatikgetriebe</v>
      </c>
      <c r="O57" s="52" t="str">
        <f t="shared" ref="O57:O60" si="19">L57&amp;"_"&amp;C57</f>
        <v>XC60_R9</v>
      </c>
      <c r="P57" s="18" t="str">
        <f>IF(C57=32,"",VLOOKUP(O57,Ausstattungslinie!$B$1:$D$732,2,FALSE))</f>
        <v>Plus Black Edition</v>
      </c>
    </row>
    <row r="58" spans="1:16">
      <c r="A58" s="17">
        <v>246</v>
      </c>
      <c r="B58" s="49" t="s">
        <v>27</v>
      </c>
      <c r="C58" s="49">
        <v>12</v>
      </c>
      <c r="D58" s="50">
        <v>0</v>
      </c>
      <c r="E58" s="50" t="s">
        <v>28</v>
      </c>
      <c r="F58" s="50">
        <v>1</v>
      </c>
      <c r="G58" s="50">
        <v>19</v>
      </c>
      <c r="I58" s="53"/>
      <c r="J58" s="51" t="str">
        <f t="shared" si="5"/>
        <v>246M1120C1</v>
      </c>
      <c r="K58" s="52" t="str">
        <f t="shared" si="18"/>
        <v>XC60 B5 (B) 8-Gang Automatikgetriebe Essential</v>
      </c>
      <c r="L58" s="52" t="str">
        <f>VLOOKUP(A58,Typ!$A$1:$B$99,2,FALSE)</f>
        <v>XC60</v>
      </c>
      <c r="M58" s="52" t="str">
        <f>VLOOKUP(B58,Motor!$A$1:$B$45,2,FALSE)</f>
        <v>B5 (B)</v>
      </c>
      <c r="N58" s="52" t="str">
        <f>VLOOKUP(E58,Getriebe!$B$1:$C$93,2,FALSE)</f>
        <v>8-Gang Automatikgetriebe</v>
      </c>
      <c r="O58" s="52" t="str">
        <f t="shared" si="19"/>
        <v>XC60_12</v>
      </c>
      <c r="P58" s="18" t="str">
        <f>IF(C58=32,"",VLOOKUP(O58,Ausstattungslinie!$B$1:$D$732,2,FALSE))</f>
        <v>Essential</v>
      </c>
    </row>
    <row r="59" spans="1:16">
      <c r="A59" s="25">
        <v>246</v>
      </c>
      <c r="B59" s="26" t="s">
        <v>27</v>
      </c>
      <c r="C59" s="26">
        <v>17</v>
      </c>
      <c r="D59" s="27">
        <v>0</v>
      </c>
      <c r="E59" s="27" t="s">
        <v>28</v>
      </c>
      <c r="F59" s="27">
        <v>1</v>
      </c>
      <c r="G59" s="27">
        <v>19</v>
      </c>
      <c r="H59" s="28"/>
      <c r="I59" s="39"/>
      <c r="J59" s="29" t="str">
        <f t="shared" si="5"/>
        <v>246M1170C1</v>
      </c>
      <c r="K59" s="30" t="str">
        <f t="shared" si="18"/>
        <v>XC60 B5 (B) 8-Gang Automatikgetriebe Core</v>
      </c>
      <c r="L59" s="30" t="str">
        <f>VLOOKUP(A59,Typ!$A$1:$B$99,2,FALSE)</f>
        <v>XC60</v>
      </c>
      <c r="M59" s="30" t="str">
        <f>VLOOKUP(B59,Motor!$A$1:$B$45,2,FALSE)</f>
        <v>B5 (B)</v>
      </c>
      <c r="N59" s="30" t="str">
        <f>VLOOKUP(E59,Getriebe!$B$1:$C$93,2,FALSE)</f>
        <v>8-Gang Automatikgetriebe</v>
      </c>
      <c r="O59" s="30" t="str">
        <f t="shared" si="19"/>
        <v>XC60_17</v>
      </c>
      <c r="P59" s="31" t="str">
        <f>IF(C59=32,"",VLOOKUP(O59,Ausstattungslinie!$B$1:$D$732,2,FALSE))</f>
        <v>Core</v>
      </c>
    </row>
    <row r="60" spans="1:16" hidden="1">
      <c r="A60" s="32">
        <v>225</v>
      </c>
      <c r="B60" s="33" t="s">
        <v>38</v>
      </c>
      <c r="C60" s="33" t="s">
        <v>30</v>
      </c>
      <c r="D60" s="34">
        <v>0</v>
      </c>
      <c r="E60" s="34" t="s">
        <v>23</v>
      </c>
      <c r="F60" s="34">
        <v>1</v>
      </c>
      <c r="G60" s="34">
        <v>19</v>
      </c>
      <c r="H60" s="35"/>
      <c r="I60" s="40"/>
      <c r="J60" s="36" t="str">
        <f t="shared" si="5"/>
        <v>225H4G20D1</v>
      </c>
      <c r="K60" s="37" t="str">
        <f t="shared" si="18"/>
        <v>V60 T6 AWD 8-Gang Automatikgetriebe Essential</v>
      </c>
      <c r="L60" s="37" t="str">
        <f>VLOOKUP(A60,Typ!$A$1:$B$99,2,FALSE)</f>
        <v>V60</v>
      </c>
      <c r="M60" s="37" t="str">
        <f>VLOOKUP(B60,Motor!$A$1:$B$45,2,FALSE)</f>
        <v>T6 AWD</v>
      </c>
      <c r="N60" s="37" t="str">
        <f>VLOOKUP(E60,Getriebe!$B$1:$C$93,2,FALSE)</f>
        <v>8-Gang Automatikgetriebe</v>
      </c>
      <c r="O60" s="37" t="str">
        <f t="shared" si="19"/>
        <v>V60_G2</v>
      </c>
      <c r="P60" s="38" t="str">
        <f>IF(C60=32,"",VLOOKUP(O60,Ausstattungslinie!$B$1:$D$732,2,FALSE))</f>
        <v>Essential</v>
      </c>
    </row>
    <row r="61" spans="1:16" hidden="1">
      <c r="A61" s="17">
        <v>225</v>
      </c>
      <c r="B61" s="49" t="s">
        <v>38</v>
      </c>
      <c r="C61" s="49" t="s">
        <v>31</v>
      </c>
      <c r="D61" s="50">
        <v>0</v>
      </c>
      <c r="E61" s="50" t="s">
        <v>23</v>
      </c>
      <c r="F61" s="50">
        <v>1</v>
      </c>
      <c r="G61" s="50">
        <v>19</v>
      </c>
      <c r="H61" s="53" t="s">
        <v>32</v>
      </c>
      <c r="I61" s="53"/>
      <c r="J61" s="51" t="str">
        <f t="shared" si="5"/>
        <v>225H4G30D1</v>
      </c>
      <c r="K61" s="52" t="str">
        <f t="shared" si="3"/>
        <v>V60 T6 AWD 8-Gang Automatikgetriebe Plus Bright</v>
      </c>
      <c r="L61" s="52" t="str">
        <f>VLOOKUP(A61,Typ!$A$1:$B$99,2,FALSE)</f>
        <v>V60</v>
      </c>
      <c r="M61" s="52" t="str">
        <f>VLOOKUP(B61,Motor!$A$1:$B$45,2,FALSE)</f>
        <v>T6 AWD</v>
      </c>
      <c r="N61" s="52" t="str">
        <f>VLOOKUP(E61,Getriebe!$B$1:$C$93,2,FALSE)</f>
        <v>8-Gang Automatikgetriebe</v>
      </c>
      <c r="O61" s="52" t="str">
        <f t="shared" si="4"/>
        <v>V60_G3</v>
      </c>
      <c r="P61" s="18" t="str">
        <f>IF(C61=32,"",VLOOKUP(O61,Ausstattungslinie!$B$1:$D$732,2,FALSE))</f>
        <v>Plus Bright</v>
      </c>
    </row>
    <row r="62" spans="1:16" hidden="1">
      <c r="A62" s="17">
        <v>225</v>
      </c>
      <c r="B62" s="49" t="s">
        <v>38</v>
      </c>
      <c r="C62" s="49" t="s">
        <v>33</v>
      </c>
      <c r="D62" s="50">
        <v>0</v>
      </c>
      <c r="E62" s="50" t="s">
        <v>23</v>
      </c>
      <c r="F62" s="50">
        <v>1</v>
      </c>
      <c r="G62" s="50">
        <v>19</v>
      </c>
      <c r="H62" s="53"/>
      <c r="I62" s="53"/>
      <c r="J62" s="51" t="str">
        <f t="shared" si="5"/>
        <v>225H4G70D1</v>
      </c>
      <c r="K62" s="52" t="str">
        <f t="shared" ref="K62:K80" si="20">L62&amp;" "&amp;M62&amp;" "&amp;N62&amp;" "&amp;P62</f>
        <v>V60 T6 AWD 8-Gang Automatikgetriebe Core</v>
      </c>
      <c r="L62" s="52" t="str">
        <f>VLOOKUP(A62,Typ!$A$1:$B$99,2,FALSE)</f>
        <v>V60</v>
      </c>
      <c r="M62" s="52" t="str">
        <f>VLOOKUP(B62,Motor!$A$1:$B$45,2,FALSE)</f>
        <v>T6 AWD</v>
      </c>
      <c r="N62" s="52" t="str">
        <f>VLOOKUP(E62,Getriebe!$B$1:$C$93,2,FALSE)</f>
        <v>8-Gang Automatikgetriebe</v>
      </c>
      <c r="O62" s="52" t="str">
        <f t="shared" ref="O62:O99" si="21">L62&amp;"_"&amp;C62</f>
        <v>V60_G7</v>
      </c>
      <c r="P62" s="18" t="str">
        <f>IF(C62=32,"",VLOOKUP(O62,Ausstattungslinie!$B$1:$D$732,2,FALSE))</f>
        <v>Core</v>
      </c>
    </row>
    <row r="63" spans="1:16" hidden="1">
      <c r="A63" s="17">
        <v>225</v>
      </c>
      <c r="B63" s="49" t="s">
        <v>38</v>
      </c>
      <c r="C63" s="49" t="s">
        <v>34</v>
      </c>
      <c r="D63" s="50">
        <v>0</v>
      </c>
      <c r="E63" s="50" t="s">
        <v>23</v>
      </c>
      <c r="F63" s="50">
        <v>1</v>
      </c>
      <c r="G63" s="50">
        <v>19</v>
      </c>
      <c r="H63" s="53"/>
      <c r="I63" s="53"/>
      <c r="J63" s="51" t="str">
        <f t="shared" si="5"/>
        <v>225H4G80D1</v>
      </c>
      <c r="K63" s="52" t="str">
        <f t="shared" si="20"/>
        <v>V60 T6 AWD 8-Gang Automatikgetriebe Ultra Bright</v>
      </c>
      <c r="L63" s="52" t="str">
        <f>VLOOKUP(A63,Typ!$A$1:$B$99,2,FALSE)</f>
        <v>V60</v>
      </c>
      <c r="M63" s="52" t="str">
        <f>VLOOKUP(B63,Motor!$A$1:$B$45,2,FALSE)</f>
        <v>T6 AWD</v>
      </c>
      <c r="N63" s="52" t="str">
        <f>VLOOKUP(E63,Getriebe!$B$1:$C$93,2,FALSE)</f>
        <v>8-Gang Automatikgetriebe</v>
      </c>
      <c r="O63" s="52" t="str">
        <f t="shared" si="21"/>
        <v>V60_G8</v>
      </c>
      <c r="P63" s="18" t="str">
        <f>IF(C63=32,"",VLOOKUP(O63,Ausstattungslinie!$B$1:$D$732,2,FALSE))</f>
        <v>Ultra Bright</v>
      </c>
    </row>
    <row r="64" spans="1:16" hidden="1">
      <c r="A64" s="17">
        <v>225</v>
      </c>
      <c r="B64" s="49" t="s">
        <v>38</v>
      </c>
      <c r="C64" s="49" t="s">
        <v>35</v>
      </c>
      <c r="D64" s="50">
        <v>0</v>
      </c>
      <c r="E64" s="50" t="s">
        <v>23</v>
      </c>
      <c r="F64" s="50">
        <v>1</v>
      </c>
      <c r="G64" s="50">
        <v>19</v>
      </c>
      <c r="H64" s="53" t="s">
        <v>32</v>
      </c>
      <c r="I64" s="53"/>
      <c r="J64" s="51" t="str">
        <f t="shared" si="5"/>
        <v>225H4VA0D1</v>
      </c>
      <c r="K64" s="52" t="str">
        <f t="shared" si="20"/>
        <v>V60 T6 AWD 8-Gang Automatikgetriebe Ultra Dark</v>
      </c>
      <c r="L64" s="52" t="str">
        <f>VLOOKUP(A64,Typ!$A$1:$B$99,2,FALSE)</f>
        <v>V60</v>
      </c>
      <c r="M64" s="52" t="str">
        <f>VLOOKUP(B64,Motor!$A$1:$B$45,2,FALSE)</f>
        <v>T6 AWD</v>
      </c>
      <c r="N64" s="52" t="str">
        <f>VLOOKUP(E64,Getriebe!$B$1:$C$93,2,FALSE)</f>
        <v>8-Gang Automatikgetriebe</v>
      </c>
      <c r="O64" s="52" t="str">
        <f t="shared" si="21"/>
        <v>V60_VA</v>
      </c>
      <c r="P64" s="18" t="str">
        <f>IF(C64=32,"",VLOOKUP(O64,Ausstattungslinie!$B$1:$D$732,2,FALSE))</f>
        <v>Ultra Dark</v>
      </c>
    </row>
    <row r="65" spans="1:16" hidden="1">
      <c r="A65" s="17">
        <v>225</v>
      </c>
      <c r="B65" s="49" t="s">
        <v>38</v>
      </c>
      <c r="C65" s="49" t="s">
        <v>36</v>
      </c>
      <c r="D65" s="50">
        <v>0</v>
      </c>
      <c r="E65" s="50" t="s">
        <v>23</v>
      </c>
      <c r="F65" s="50">
        <v>1</v>
      </c>
      <c r="G65" s="50">
        <v>19</v>
      </c>
      <c r="H65" s="53"/>
      <c r="I65" s="53"/>
      <c r="J65" s="51" t="str">
        <f t="shared" si="5"/>
        <v>225H4V50D1</v>
      </c>
      <c r="K65" s="52" t="str">
        <f t="shared" si="20"/>
        <v>V60 T6 AWD 8-Gang Automatikgetriebe Plus Dark</v>
      </c>
      <c r="L65" s="52" t="str">
        <f>VLOOKUP(A65,Typ!$A$1:$B$99,2,FALSE)</f>
        <v>V60</v>
      </c>
      <c r="M65" s="52" t="str">
        <f>VLOOKUP(B65,Motor!$A$1:$B$45,2,FALSE)</f>
        <v>T6 AWD</v>
      </c>
      <c r="N65" s="52" t="str">
        <f>VLOOKUP(E65,Getriebe!$B$1:$C$93,2,FALSE)</f>
        <v>8-Gang Automatikgetriebe</v>
      </c>
      <c r="O65" s="52" t="str">
        <f t="shared" si="21"/>
        <v>V60_V5</v>
      </c>
      <c r="P65" s="18" t="str">
        <f>IF(C65=32,"",VLOOKUP(O65,Ausstattungslinie!$B$1:$D$732,2,FALSE))</f>
        <v>Plus Dark</v>
      </c>
    </row>
    <row r="66" spans="1:16" hidden="1">
      <c r="A66" s="17">
        <v>225</v>
      </c>
      <c r="B66" s="49" t="s">
        <v>21</v>
      </c>
      <c r="C66" s="49" t="s">
        <v>31</v>
      </c>
      <c r="D66" s="50">
        <v>0</v>
      </c>
      <c r="E66" s="50" t="s">
        <v>23</v>
      </c>
      <c r="F66" s="50">
        <v>1</v>
      </c>
      <c r="G66" s="50">
        <v>19</v>
      </c>
      <c r="H66" s="53"/>
      <c r="I66" s="53"/>
      <c r="J66" s="51" t="str">
        <f t="shared" si="5"/>
        <v>225H7G30D1</v>
      </c>
      <c r="K66" s="52" t="str">
        <f t="shared" si="20"/>
        <v>V60 T8 AWD 8-Gang Automatikgetriebe Plus Bright</v>
      </c>
      <c r="L66" s="52" t="str">
        <f>VLOOKUP(A66,Typ!$A$1:$B$99,2,FALSE)</f>
        <v>V60</v>
      </c>
      <c r="M66" s="52" t="str">
        <f>VLOOKUP(B66,Motor!$A$1:$B$45,2,FALSE)</f>
        <v>T8 AWD</v>
      </c>
      <c r="N66" s="52" t="str">
        <f>VLOOKUP(E66,Getriebe!$B$1:$C$93,2,FALSE)</f>
        <v>8-Gang Automatikgetriebe</v>
      </c>
      <c r="O66" s="52" t="str">
        <f t="shared" si="21"/>
        <v>V60_G3</v>
      </c>
      <c r="P66" s="18" t="str">
        <f>IF(C66=32,"",VLOOKUP(O66,Ausstattungslinie!$B$1:$D$732,2,FALSE))</f>
        <v>Plus Bright</v>
      </c>
    </row>
    <row r="67" spans="1:16" hidden="1">
      <c r="A67" s="17">
        <v>225</v>
      </c>
      <c r="B67" s="49" t="s">
        <v>21</v>
      </c>
      <c r="C67" s="49" t="s">
        <v>34</v>
      </c>
      <c r="D67" s="50">
        <v>0</v>
      </c>
      <c r="E67" s="50" t="s">
        <v>23</v>
      </c>
      <c r="F67" s="50">
        <v>1</v>
      </c>
      <c r="G67" s="50">
        <v>19</v>
      </c>
      <c r="H67" s="53" t="s">
        <v>32</v>
      </c>
      <c r="I67" s="53"/>
      <c r="J67" s="51" t="str">
        <f t="shared" si="5"/>
        <v>225H7G80D1</v>
      </c>
      <c r="K67" s="52" t="str">
        <f t="shared" si="20"/>
        <v>V60 T8 AWD 8-Gang Automatikgetriebe Ultra Bright</v>
      </c>
      <c r="L67" s="52" t="str">
        <f>VLOOKUP(A67,Typ!$A$1:$B$99,2,FALSE)</f>
        <v>V60</v>
      </c>
      <c r="M67" s="52" t="str">
        <f>VLOOKUP(B67,Motor!$A$1:$B$45,2,FALSE)</f>
        <v>T8 AWD</v>
      </c>
      <c r="N67" s="52" t="str">
        <f>VLOOKUP(E67,Getriebe!$B$1:$C$93,2,FALSE)</f>
        <v>8-Gang Automatikgetriebe</v>
      </c>
      <c r="O67" s="52" t="str">
        <f t="shared" si="21"/>
        <v>V60_G8</v>
      </c>
      <c r="P67" s="18" t="str">
        <f>IF(C67=32,"",VLOOKUP(O67,Ausstattungslinie!$B$1:$D$732,2,FALSE))</f>
        <v>Ultra Bright</v>
      </c>
    </row>
    <row r="68" spans="1:16" hidden="1">
      <c r="A68" s="17">
        <v>225</v>
      </c>
      <c r="B68" s="49" t="s">
        <v>21</v>
      </c>
      <c r="C68" s="49" t="s">
        <v>47</v>
      </c>
      <c r="D68" s="50">
        <v>0</v>
      </c>
      <c r="E68" s="50" t="s">
        <v>23</v>
      </c>
      <c r="F68" s="50">
        <v>1</v>
      </c>
      <c r="G68" s="50">
        <v>19</v>
      </c>
      <c r="H68" s="53"/>
      <c r="I68" s="53"/>
      <c r="J68" s="51" t="str">
        <f t="shared" si="5"/>
        <v>225H7P50D1</v>
      </c>
      <c r="K68" s="52" t="str">
        <f>L68&amp;" "&amp;M68&amp;" "&amp;N68&amp;" "&amp;P68</f>
        <v>V60 T8 AWD 8-Gang Automatikgetriebe Polestar Engineered</v>
      </c>
      <c r="L68" s="52" t="str">
        <f>VLOOKUP(A68,Typ!$A$1:$B$99,2,FALSE)</f>
        <v>V60</v>
      </c>
      <c r="M68" s="52" t="str">
        <f>VLOOKUP(B68,Motor!$A$1:$B$45,2,FALSE)</f>
        <v>T8 AWD</v>
      </c>
      <c r="N68" s="52" t="str">
        <f>VLOOKUP(E68,Getriebe!$B$1:$C$93,2,FALSE)</f>
        <v>8-Gang Automatikgetriebe</v>
      </c>
      <c r="O68" s="52" t="str">
        <f t="shared" si="21"/>
        <v>V60_P5</v>
      </c>
      <c r="P68" s="18" t="str">
        <f>IF(C68=32,"",VLOOKUP(O68,Ausstattungslinie!$B$1:$D$732,2,FALSE))</f>
        <v>Polestar Engineered</v>
      </c>
    </row>
    <row r="69" spans="1:16" hidden="1">
      <c r="A69" s="17">
        <v>225</v>
      </c>
      <c r="B69" s="49" t="s">
        <v>21</v>
      </c>
      <c r="C69" s="49" t="s">
        <v>35</v>
      </c>
      <c r="D69" s="50">
        <v>0</v>
      </c>
      <c r="E69" s="50" t="s">
        <v>23</v>
      </c>
      <c r="F69" s="50">
        <v>1</v>
      </c>
      <c r="G69" s="50">
        <v>19</v>
      </c>
      <c r="H69" s="53"/>
      <c r="I69" s="53"/>
      <c r="J69" s="51" t="str">
        <f t="shared" si="5"/>
        <v>225H7VA0D1</v>
      </c>
      <c r="K69" s="52" t="str">
        <f t="shared" si="20"/>
        <v>V60 T8 AWD 8-Gang Automatikgetriebe Ultra Dark</v>
      </c>
      <c r="L69" s="52" t="str">
        <f>VLOOKUP(A69,Typ!$A$1:$B$99,2,FALSE)</f>
        <v>V60</v>
      </c>
      <c r="M69" s="52" t="str">
        <f>VLOOKUP(B69,Motor!$A$1:$B$45,2,FALSE)</f>
        <v>T8 AWD</v>
      </c>
      <c r="N69" s="52" t="str">
        <f>VLOOKUP(E69,Getriebe!$B$1:$C$93,2,FALSE)</f>
        <v>8-Gang Automatikgetriebe</v>
      </c>
      <c r="O69" s="52" t="str">
        <f t="shared" si="21"/>
        <v>V60_VA</v>
      </c>
      <c r="P69" s="18" t="str">
        <f>IF(C69=32,"",VLOOKUP(O69,Ausstattungslinie!$B$1:$D$732,2,FALSE))</f>
        <v>Ultra Dark</v>
      </c>
    </row>
    <row r="70" spans="1:16" hidden="1">
      <c r="A70" s="17">
        <v>225</v>
      </c>
      <c r="B70" s="49" t="s">
        <v>21</v>
      </c>
      <c r="C70" s="49" t="s">
        <v>36</v>
      </c>
      <c r="D70" s="50">
        <v>0</v>
      </c>
      <c r="E70" s="50" t="s">
        <v>23</v>
      </c>
      <c r="F70" s="50">
        <v>1</v>
      </c>
      <c r="G70" s="50">
        <v>19</v>
      </c>
      <c r="H70" s="53" t="s">
        <v>32</v>
      </c>
      <c r="I70" s="53"/>
      <c r="J70" s="51" t="str">
        <f t="shared" si="5"/>
        <v>225H7V50D1</v>
      </c>
      <c r="K70" s="52" t="str">
        <f t="shared" si="20"/>
        <v>V60 T8 AWD 8-Gang Automatikgetriebe Plus Dark</v>
      </c>
      <c r="L70" s="52" t="str">
        <f>VLOOKUP(A70,Typ!$A$1:$B$99,2,FALSE)</f>
        <v>V60</v>
      </c>
      <c r="M70" s="52" t="str">
        <f>VLOOKUP(B70,Motor!$A$1:$B$45,2,FALSE)</f>
        <v>T8 AWD</v>
      </c>
      <c r="N70" s="52" t="str">
        <f>VLOOKUP(E70,Getriebe!$B$1:$C$93,2,FALSE)</f>
        <v>8-Gang Automatikgetriebe</v>
      </c>
      <c r="O70" s="52" t="str">
        <f t="shared" si="21"/>
        <v>V60_V5</v>
      </c>
      <c r="P70" s="18" t="str">
        <f>IF(C70=32,"",VLOOKUP(O70,Ausstattungslinie!$B$1:$D$732,2,FALSE))</f>
        <v>Plus Dark</v>
      </c>
    </row>
    <row r="71" spans="1:16" hidden="1">
      <c r="A71" s="17">
        <v>225</v>
      </c>
      <c r="B71" s="49" t="s">
        <v>52</v>
      </c>
      <c r="C71" s="49" t="s">
        <v>48</v>
      </c>
      <c r="D71" s="50">
        <v>0</v>
      </c>
      <c r="E71" s="50" t="s">
        <v>53</v>
      </c>
      <c r="F71" s="50">
        <v>1</v>
      </c>
      <c r="G71" s="50">
        <v>19</v>
      </c>
      <c r="H71" s="53"/>
      <c r="I71" s="53"/>
      <c r="J71" s="51" t="str">
        <f t="shared" si="5"/>
        <v>225K8RA0F1</v>
      </c>
      <c r="K71" s="52" t="str">
        <f t="shared" si="20"/>
        <v>V60 B4 (B) 7-Gang-Doppelkupplungsgetriebe Ultra Dark</v>
      </c>
      <c r="L71" s="52" t="str">
        <f>VLOOKUP(A71,Typ!$A$1:$B$99,2,FALSE)</f>
        <v>V60</v>
      </c>
      <c r="M71" s="52" t="str">
        <f>VLOOKUP(B71,Motor!$A$1:$B$45,2,FALSE)</f>
        <v>B4 (B)</v>
      </c>
      <c r="N71" s="52" t="str">
        <f>VLOOKUP(E71,Getriebe!$B$1:$C$93,2,FALSE)</f>
        <v>7-Gang-Doppelkupplungsgetriebe</v>
      </c>
      <c r="O71" s="52" t="str">
        <f t="shared" si="21"/>
        <v>V60_RA</v>
      </c>
      <c r="P71" s="18" t="str">
        <f>IF(C71=32,"",VLOOKUP(O71,Ausstattungslinie!$B$1:$D$732,2,FALSE))</f>
        <v>Ultra Dark</v>
      </c>
    </row>
    <row r="72" spans="1:16" hidden="1">
      <c r="A72" s="17">
        <v>225</v>
      </c>
      <c r="B72" s="49" t="s">
        <v>52</v>
      </c>
      <c r="C72" s="49" t="s">
        <v>50</v>
      </c>
      <c r="D72" s="50">
        <v>0</v>
      </c>
      <c r="E72" s="50" t="s">
        <v>53</v>
      </c>
      <c r="F72" s="50">
        <v>1</v>
      </c>
      <c r="G72" s="50">
        <v>19</v>
      </c>
      <c r="H72" s="53" t="s">
        <v>32</v>
      </c>
      <c r="I72" s="53"/>
      <c r="J72" s="51" t="str">
        <f t="shared" si="5"/>
        <v>225K8R50F1</v>
      </c>
      <c r="K72" s="52" t="str">
        <f t="shared" si="20"/>
        <v>V60 B4 (B) 7-Gang-Doppelkupplungsgetriebe Plus Dark</v>
      </c>
      <c r="L72" s="52" t="str">
        <f>VLOOKUP(A72,Typ!$A$1:$B$99,2,FALSE)</f>
        <v>V60</v>
      </c>
      <c r="M72" s="52" t="str">
        <f>VLOOKUP(B72,Motor!$A$1:$B$45,2,FALSE)</f>
        <v>B4 (B)</v>
      </c>
      <c r="N72" s="52" t="str">
        <f>VLOOKUP(E72,Getriebe!$B$1:$C$93,2,FALSE)</f>
        <v>7-Gang-Doppelkupplungsgetriebe</v>
      </c>
      <c r="O72" s="52" t="str">
        <f t="shared" si="21"/>
        <v>V60_R5</v>
      </c>
      <c r="P72" s="18" t="str">
        <f>IF(C72=32,"",VLOOKUP(O72,Ausstattungslinie!$B$1:$D$732,2,FALSE))</f>
        <v>Plus Dark</v>
      </c>
    </row>
    <row r="73" spans="1:16" hidden="1">
      <c r="A73" s="17">
        <v>225</v>
      </c>
      <c r="B73" s="49" t="s">
        <v>52</v>
      </c>
      <c r="C73" s="49">
        <v>12</v>
      </c>
      <c r="D73" s="50">
        <v>0</v>
      </c>
      <c r="E73" s="50" t="s">
        <v>53</v>
      </c>
      <c r="F73" s="50">
        <v>1</v>
      </c>
      <c r="G73" s="50">
        <v>19</v>
      </c>
      <c r="H73" s="53"/>
      <c r="I73" s="53"/>
      <c r="J73" s="51" t="str">
        <f t="shared" si="5"/>
        <v>225K8120F1</v>
      </c>
      <c r="K73" s="52" t="str">
        <f t="shared" si="20"/>
        <v>V60 B4 (B) 7-Gang-Doppelkupplungsgetriebe Essential</v>
      </c>
      <c r="L73" s="52" t="str">
        <f>VLOOKUP(A73,Typ!$A$1:$B$99,2,FALSE)</f>
        <v>V60</v>
      </c>
      <c r="M73" s="52" t="str">
        <f>VLOOKUP(B73,Motor!$A$1:$B$45,2,FALSE)</f>
        <v>B4 (B)</v>
      </c>
      <c r="N73" s="52" t="str">
        <f>VLOOKUP(E73,Getriebe!$B$1:$C$93,2,FALSE)</f>
        <v>7-Gang-Doppelkupplungsgetriebe</v>
      </c>
      <c r="O73" s="52" t="str">
        <f t="shared" si="21"/>
        <v>V60_12</v>
      </c>
      <c r="P73" s="18" t="str">
        <f>IF(C73=32,"",VLOOKUP(O73,Ausstattungslinie!$B$1:$D$732,2,FALSE))</f>
        <v>Essential</v>
      </c>
    </row>
    <row r="74" spans="1:16" hidden="1">
      <c r="A74" s="25">
        <v>225</v>
      </c>
      <c r="B74" s="26" t="s">
        <v>52</v>
      </c>
      <c r="C74" s="26">
        <v>17</v>
      </c>
      <c r="D74" s="27">
        <v>0</v>
      </c>
      <c r="E74" s="27" t="s">
        <v>53</v>
      </c>
      <c r="F74" s="27">
        <v>1</v>
      </c>
      <c r="G74" s="27">
        <v>19</v>
      </c>
      <c r="H74" s="39"/>
      <c r="I74" s="39"/>
      <c r="J74" s="29" t="str">
        <f t="shared" si="5"/>
        <v>225K8170F1</v>
      </c>
      <c r="K74" s="30" t="str">
        <f t="shared" si="20"/>
        <v>V60 B4 (B) 7-Gang-Doppelkupplungsgetriebe Core</v>
      </c>
      <c r="L74" s="30" t="str">
        <f>VLOOKUP(A74,Typ!$A$1:$B$99,2,FALSE)</f>
        <v>V60</v>
      </c>
      <c r="M74" s="30" t="str">
        <f>VLOOKUP(B74,Motor!$A$1:$B$45,2,FALSE)</f>
        <v>B4 (B)</v>
      </c>
      <c r="N74" s="30" t="str">
        <f>VLOOKUP(E74,Getriebe!$B$1:$C$93,2,FALSE)</f>
        <v>7-Gang-Doppelkupplungsgetriebe</v>
      </c>
      <c r="O74" s="30" t="str">
        <f t="shared" si="21"/>
        <v>V60_17</v>
      </c>
      <c r="P74" s="31" t="str">
        <f>IF(C74=32,"",VLOOKUP(O74,Ausstattungslinie!$B$1:$D$732,2,FALSE))</f>
        <v>Core</v>
      </c>
    </row>
    <row r="75" spans="1:16" hidden="1">
      <c r="A75" s="32">
        <v>224</v>
      </c>
      <c r="B75" s="33" t="s">
        <v>21</v>
      </c>
      <c r="C75" s="33" t="s">
        <v>47</v>
      </c>
      <c r="D75" s="34">
        <v>0</v>
      </c>
      <c r="E75" s="34" t="s">
        <v>23</v>
      </c>
      <c r="F75" s="34">
        <v>1</v>
      </c>
      <c r="G75" s="34">
        <v>19</v>
      </c>
      <c r="H75" s="40"/>
      <c r="I75" s="40"/>
      <c r="J75" s="36" t="str">
        <f t="shared" si="5"/>
        <v>224H7P50D1</v>
      </c>
      <c r="K75" s="37" t="str">
        <f t="shared" si="20"/>
        <v>S60 T8 AWD 8-Gang Automatikgetriebe Polestar Engineered</v>
      </c>
      <c r="L75" s="37" t="str">
        <f>VLOOKUP(A75,Typ!$A$1:$B$99,2,FALSE)</f>
        <v>S60</v>
      </c>
      <c r="M75" s="37" t="str">
        <f>VLOOKUP(B75,Motor!$A$1:$B$45,2,FALSE)</f>
        <v>T8 AWD</v>
      </c>
      <c r="N75" s="37" t="str">
        <f>VLOOKUP(E75,Getriebe!$B$1:$C$93,2,FALSE)</f>
        <v>8-Gang Automatikgetriebe</v>
      </c>
      <c r="O75" s="37" t="str">
        <f t="shared" si="21"/>
        <v>S60_P5</v>
      </c>
      <c r="P75" s="38" t="str">
        <f>IF(C75=32,"",VLOOKUP(O75,Ausstattungslinie!$B$1:$D$732,2,FALSE))</f>
        <v>Polestar Engineered</v>
      </c>
    </row>
    <row r="76" spans="1:16" hidden="1">
      <c r="A76" s="17">
        <v>224</v>
      </c>
      <c r="B76" s="49" t="s">
        <v>21</v>
      </c>
      <c r="C76" s="49" t="s">
        <v>35</v>
      </c>
      <c r="D76" s="50">
        <v>0</v>
      </c>
      <c r="E76" s="50" t="s">
        <v>23</v>
      </c>
      <c r="F76" s="50">
        <v>1</v>
      </c>
      <c r="G76" s="50">
        <v>19</v>
      </c>
      <c r="H76" s="53"/>
      <c r="I76" s="53"/>
      <c r="J76" s="51" t="str">
        <f t="shared" si="5"/>
        <v>224H7VA0D1</v>
      </c>
      <c r="K76" s="52" t="str">
        <f t="shared" si="20"/>
        <v>S60 T8 AWD 8-Gang Automatikgetriebe Ultra Dark</v>
      </c>
      <c r="L76" s="52" t="str">
        <f>VLOOKUP(A76,Typ!$A$1:$B$99,2,FALSE)</f>
        <v>S60</v>
      </c>
      <c r="M76" s="52" t="str">
        <f>VLOOKUP(B76,Motor!$A$1:$B$45,2,FALSE)</f>
        <v>T8 AWD</v>
      </c>
      <c r="N76" s="52" t="str">
        <f>VLOOKUP(E76,Getriebe!$B$1:$C$93,2,FALSE)</f>
        <v>8-Gang Automatikgetriebe</v>
      </c>
      <c r="O76" s="52" t="str">
        <f t="shared" si="21"/>
        <v>S60_VA</v>
      </c>
      <c r="P76" s="18" t="str">
        <f>IF(C76=32,"",VLOOKUP(O76,Ausstattungslinie!$B$1:$D$732,2,FALSE))</f>
        <v>Ultra Dark</v>
      </c>
    </row>
    <row r="77" spans="1:16" hidden="1">
      <c r="A77" s="25">
        <v>224</v>
      </c>
      <c r="B77" s="26" t="s">
        <v>21</v>
      </c>
      <c r="C77" s="26" t="s">
        <v>36</v>
      </c>
      <c r="D77" s="27">
        <v>0</v>
      </c>
      <c r="E77" s="27" t="s">
        <v>23</v>
      </c>
      <c r="F77" s="27">
        <v>1</v>
      </c>
      <c r="G77" s="27">
        <v>19</v>
      </c>
      <c r="H77" s="39" t="s">
        <v>32</v>
      </c>
      <c r="I77" s="39"/>
      <c r="J77" s="29" t="str">
        <f t="shared" si="5"/>
        <v>224H7V50D1</v>
      </c>
      <c r="K77" s="30" t="str">
        <f t="shared" si="20"/>
        <v>S60 T8 AWD 8-Gang Automatikgetriebe Plus Dark</v>
      </c>
      <c r="L77" s="30" t="str">
        <f>VLOOKUP(A77,Typ!$A$1:$B$99,2,FALSE)</f>
        <v>S60</v>
      </c>
      <c r="M77" s="30" t="str">
        <f>VLOOKUP(B77,Motor!$A$1:$B$45,2,FALSE)</f>
        <v>T8 AWD</v>
      </c>
      <c r="N77" s="30" t="str">
        <f>VLOOKUP(E77,Getriebe!$B$1:$C$93,2,FALSE)</f>
        <v>8-Gang Automatikgetriebe</v>
      </c>
      <c r="O77" s="30" t="str">
        <f t="shared" si="21"/>
        <v>S60_V5</v>
      </c>
      <c r="P77" s="31" t="str">
        <f>IF(C77=32,"",VLOOKUP(O77,Ausstattungslinie!$B$1:$D$732,2,FALSE))</f>
        <v>Plus Dark</v>
      </c>
    </row>
    <row r="78" spans="1:16" hidden="1">
      <c r="A78" s="54">
        <v>536</v>
      </c>
      <c r="B78" s="33" t="s">
        <v>54</v>
      </c>
      <c r="C78" s="33" t="s">
        <v>55</v>
      </c>
      <c r="D78" s="34">
        <v>0</v>
      </c>
      <c r="E78" s="34" t="s">
        <v>19</v>
      </c>
      <c r="F78" s="34">
        <v>1</v>
      </c>
      <c r="G78" s="34">
        <v>19</v>
      </c>
      <c r="H78" s="40" t="s">
        <v>32</v>
      </c>
      <c r="I78" s="40"/>
      <c r="J78" s="36" t="str">
        <f t="shared" si="5"/>
        <v>536EBR40L1</v>
      </c>
      <c r="K78" s="37" t="str">
        <f t="shared" si="20"/>
        <v>EX40 Single Motor RWD Automatikgetriebe einstufig Essential</v>
      </c>
      <c r="L78" s="37" t="s">
        <v>56</v>
      </c>
      <c r="M78" s="37" t="str">
        <f>VLOOKUP(B78,Motor!$A$1:$B$45,2,FALSE)</f>
        <v>Single Motor RWD</v>
      </c>
      <c r="N78" s="37" t="str">
        <f>VLOOKUP(E78,Getriebe!$B$1:$C$93,2,FALSE)</f>
        <v>Automatikgetriebe einstufig</v>
      </c>
      <c r="O78" s="37" t="str">
        <f t="shared" si="21"/>
        <v>EX40_R4</v>
      </c>
      <c r="P78" s="55" t="str">
        <f>IF(C78=32,"",VLOOKUP(O78,Ausstattungslinie!$B$1:$D$732,2,FALSE))</f>
        <v>Essential</v>
      </c>
    </row>
    <row r="79" spans="1:16" hidden="1">
      <c r="A79" s="56">
        <v>536</v>
      </c>
      <c r="B79" s="49" t="s">
        <v>54</v>
      </c>
      <c r="C79" s="49" t="s">
        <v>57</v>
      </c>
      <c r="D79" s="50">
        <v>0</v>
      </c>
      <c r="E79" s="50" t="s">
        <v>19</v>
      </c>
      <c r="F79" s="50">
        <v>1</v>
      </c>
      <c r="G79" s="50">
        <v>19</v>
      </c>
      <c r="H79" s="53" t="s">
        <v>32</v>
      </c>
      <c r="I79" s="53"/>
      <c r="J79" s="51" t="str">
        <f t="shared" si="5"/>
        <v>536EBR60L1</v>
      </c>
      <c r="K79" s="52" t="str">
        <f t="shared" si="20"/>
        <v>EX40 Single Motor RWD Automatikgetriebe einstufig Core</v>
      </c>
      <c r="L79" s="52" t="s">
        <v>56</v>
      </c>
      <c r="M79" s="52" t="str">
        <f>VLOOKUP(B79,Motor!$A$1:$B$45,2,FALSE)</f>
        <v>Single Motor RWD</v>
      </c>
      <c r="N79" s="52" t="str">
        <f>VLOOKUP(E79,Getriebe!$B$1:$C$93,2,FALSE)</f>
        <v>Automatikgetriebe einstufig</v>
      </c>
      <c r="O79" s="52" t="str">
        <f t="shared" si="21"/>
        <v>EX40_R6</v>
      </c>
      <c r="P79" s="57" t="str">
        <f>IF(C79=32,"",VLOOKUP(O79,Ausstattungslinie!$B$1:$D$732,2,FALSE))</f>
        <v>Core</v>
      </c>
    </row>
    <row r="80" spans="1:16" hidden="1">
      <c r="A80" s="56">
        <v>536</v>
      </c>
      <c r="B80" s="49" t="s">
        <v>54</v>
      </c>
      <c r="C80" s="49" t="s">
        <v>58</v>
      </c>
      <c r="D80" s="50">
        <v>0</v>
      </c>
      <c r="E80" s="50" t="s">
        <v>19</v>
      </c>
      <c r="F80" s="50">
        <v>1</v>
      </c>
      <c r="G80" s="50">
        <v>19</v>
      </c>
      <c r="H80" s="53" t="s">
        <v>32</v>
      </c>
      <c r="I80" s="53"/>
      <c r="J80" s="51" t="str">
        <f t="shared" si="5"/>
        <v>536EBR80L1</v>
      </c>
      <c r="K80" s="52" t="str">
        <f t="shared" si="20"/>
        <v>EX40 Single Motor RWD Automatikgetriebe einstufig Plus</v>
      </c>
      <c r="L80" s="52" t="s">
        <v>56</v>
      </c>
      <c r="M80" s="52" t="str">
        <f>VLOOKUP(B80,Motor!$A$1:$B$45,2,FALSE)</f>
        <v>Single Motor RWD</v>
      </c>
      <c r="N80" s="52" t="str">
        <f>VLOOKUP(E80,Getriebe!$B$1:$C$93,2,FALSE)</f>
        <v>Automatikgetriebe einstufig</v>
      </c>
      <c r="O80" s="52" t="str">
        <f t="shared" si="21"/>
        <v>EX40_R8</v>
      </c>
      <c r="P80" s="57" t="str">
        <f>IF(C80=32,"",VLOOKUP(O80,Ausstattungslinie!$B$1:$D$732,2,FALSE))</f>
        <v>Plus</v>
      </c>
    </row>
    <row r="81" spans="1:16" hidden="1">
      <c r="A81" s="56">
        <v>536</v>
      </c>
      <c r="B81" s="49" t="s">
        <v>59</v>
      </c>
      <c r="C81" s="49" t="s">
        <v>60</v>
      </c>
      <c r="D81" s="50">
        <v>0</v>
      </c>
      <c r="E81" s="50" t="s">
        <v>19</v>
      </c>
      <c r="F81" s="50">
        <v>1</v>
      </c>
      <c r="G81" s="50">
        <v>19</v>
      </c>
      <c r="H81" s="53" t="s">
        <v>32</v>
      </c>
      <c r="I81" s="53"/>
      <c r="J81" s="51" t="str">
        <f t="shared" si="5"/>
        <v>536EHRB0L1</v>
      </c>
      <c r="K81" s="52" t="str">
        <f t="shared" ref="K81:K98" si="22">L81&amp;" "&amp;M81&amp;" "&amp;N81&amp;" "&amp;P81</f>
        <v>EX40 Single Motor Extended Range RWD Automatikgetriebe einstufig Ultra</v>
      </c>
      <c r="L81" s="52" t="s">
        <v>56</v>
      </c>
      <c r="M81" s="52" t="str">
        <f>VLOOKUP(B81,Motor!$A$1:$B$45,2,FALSE)</f>
        <v>Single Motor Extended Range RWD</v>
      </c>
      <c r="N81" s="52" t="str">
        <f>VLOOKUP(E81,Getriebe!$B$1:$C$93,2,FALSE)</f>
        <v>Automatikgetriebe einstufig</v>
      </c>
      <c r="O81" s="52" t="str">
        <f t="shared" si="21"/>
        <v>EX40_RB</v>
      </c>
      <c r="P81" s="57" t="str">
        <f>IF(C81=32,"",VLOOKUP(O81,Ausstattungslinie!$B$1:$D$732,2,FALSE))</f>
        <v>Ultra</v>
      </c>
    </row>
    <row r="82" spans="1:16" hidden="1">
      <c r="A82" s="56">
        <v>536</v>
      </c>
      <c r="B82" s="49" t="s">
        <v>59</v>
      </c>
      <c r="C82" s="49" t="s">
        <v>57</v>
      </c>
      <c r="D82" s="50">
        <v>0</v>
      </c>
      <c r="E82" s="50" t="s">
        <v>19</v>
      </c>
      <c r="F82" s="50">
        <v>1</v>
      </c>
      <c r="G82" s="50">
        <v>19</v>
      </c>
      <c r="H82" s="53" t="s">
        <v>32</v>
      </c>
      <c r="I82" s="53"/>
      <c r="J82" s="51" t="str">
        <f t="shared" si="5"/>
        <v>536EHR60L1</v>
      </c>
      <c r="K82" s="52" t="str">
        <f t="shared" si="22"/>
        <v>EX40 Single Motor Extended Range RWD Automatikgetriebe einstufig Core</v>
      </c>
      <c r="L82" s="52" t="s">
        <v>56</v>
      </c>
      <c r="M82" s="52" t="str">
        <f>VLOOKUP(B82,Motor!$A$1:$B$45,2,FALSE)</f>
        <v>Single Motor Extended Range RWD</v>
      </c>
      <c r="N82" s="52" t="str">
        <f>VLOOKUP(E82,Getriebe!$B$1:$C$93,2,FALSE)</f>
        <v>Automatikgetriebe einstufig</v>
      </c>
      <c r="O82" s="52" t="str">
        <f t="shared" si="21"/>
        <v>EX40_R6</v>
      </c>
      <c r="P82" s="57" t="str">
        <f>IF(C82=32,"",VLOOKUP(O82,Ausstattungslinie!$B$1:$D$732,2,FALSE))</f>
        <v>Core</v>
      </c>
    </row>
    <row r="83" spans="1:16" hidden="1">
      <c r="A83" s="56">
        <v>536</v>
      </c>
      <c r="B83" s="49" t="s">
        <v>59</v>
      </c>
      <c r="C83" s="49" t="s">
        <v>58</v>
      </c>
      <c r="D83" s="50">
        <v>0</v>
      </c>
      <c r="E83" s="50" t="s">
        <v>19</v>
      </c>
      <c r="F83" s="50">
        <v>1</v>
      </c>
      <c r="G83" s="50">
        <v>19</v>
      </c>
      <c r="H83" s="53" t="s">
        <v>32</v>
      </c>
      <c r="I83" s="53"/>
      <c r="J83" s="51" t="str">
        <f t="shared" ref="J83:J87" si="23">A83&amp;""&amp;B83&amp;""&amp;C83&amp;""&amp;D83&amp;E83&amp;F83</f>
        <v>536EHR80L1</v>
      </c>
      <c r="K83" s="52" t="str">
        <f t="shared" si="22"/>
        <v>EX40 Single Motor Extended Range RWD Automatikgetriebe einstufig Plus</v>
      </c>
      <c r="L83" s="52" t="s">
        <v>56</v>
      </c>
      <c r="M83" s="52" t="str">
        <f>VLOOKUP(B83,Motor!$A$1:$B$45,2,FALSE)</f>
        <v>Single Motor Extended Range RWD</v>
      </c>
      <c r="N83" s="52" t="str">
        <f>VLOOKUP(E83,Getriebe!$B$1:$C$93,2,FALSE)</f>
        <v>Automatikgetriebe einstufig</v>
      </c>
      <c r="O83" s="52" t="str">
        <f t="shared" si="21"/>
        <v>EX40_R8</v>
      </c>
      <c r="P83" s="57" t="str">
        <f>IF(C83=32,"",VLOOKUP(O83,Ausstattungslinie!$B$1:$D$732,2,FALSE))</f>
        <v>Plus</v>
      </c>
    </row>
    <row r="84" spans="1:16" hidden="1">
      <c r="A84" s="56">
        <v>536</v>
      </c>
      <c r="B84" s="49" t="s">
        <v>61</v>
      </c>
      <c r="C84" s="49" t="s">
        <v>60</v>
      </c>
      <c r="D84" s="50">
        <v>0</v>
      </c>
      <c r="E84" s="50" t="s">
        <v>17</v>
      </c>
      <c r="F84" s="50">
        <v>1</v>
      </c>
      <c r="G84" s="50">
        <v>19</v>
      </c>
      <c r="H84" s="53" t="s">
        <v>32</v>
      </c>
      <c r="I84" s="53"/>
      <c r="J84" s="51" t="str">
        <f t="shared" si="23"/>
        <v>536ERRB0E1</v>
      </c>
      <c r="K84" s="52" t="str">
        <f t="shared" si="22"/>
        <v>EX40 Twin Motor AWD Automatikgetriebe einstufig Ultra</v>
      </c>
      <c r="L84" s="52" t="s">
        <v>56</v>
      </c>
      <c r="M84" s="52" t="str">
        <f>VLOOKUP(B84,Motor!$A$1:$B$45,2,FALSE)</f>
        <v>Twin Motor AWD</v>
      </c>
      <c r="N84" s="52" t="str">
        <f>VLOOKUP(E84,Getriebe!$B$1:$C$93,2,FALSE)</f>
        <v>Automatikgetriebe einstufig</v>
      </c>
      <c r="O84" s="52" t="str">
        <f t="shared" si="21"/>
        <v>EX40_RB</v>
      </c>
      <c r="P84" s="57" t="str">
        <f>IF(C84=32,"",VLOOKUP(O84,Ausstattungslinie!$B$1:$D$732,2,FALSE))</f>
        <v>Ultra</v>
      </c>
    </row>
    <row r="85" spans="1:16" hidden="1">
      <c r="A85" s="58">
        <v>536</v>
      </c>
      <c r="B85" s="26" t="s">
        <v>61</v>
      </c>
      <c r="C85" s="26" t="s">
        <v>58</v>
      </c>
      <c r="D85" s="27">
        <v>0</v>
      </c>
      <c r="E85" s="27" t="s">
        <v>17</v>
      </c>
      <c r="F85" s="27">
        <v>1</v>
      </c>
      <c r="G85" s="27">
        <v>19</v>
      </c>
      <c r="H85" s="39" t="s">
        <v>32</v>
      </c>
      <c r="I85" s="39"/>
      <c r="J85" s="29" t="str">
        <f t="shared" si="23"/>
        <v>536ERR80E1</v>
      </c>
      <c r="K85" s="30" t="str">
        <f t="shared" si="22"/>
        <v>EX40 Twin Motor AWD Automatikgetriebe einstufig Plus</v>
      </c>
      <c r="L85" s="30" t="s">
        <v>56</v>
      </c>
      <c r="M85" s="30" t="str">
        <f>VLOOKUP(B85,Motor!$A$1:$B$45,2,FALSE)</f>
        <v>Twin Motor AWD</v>
      </c>
      <c r="N85" s="30" t="str">
        <f>VLOOKUP(E85,Getriebe!$B$1:$C$93,2,FALSE)</f>
        <v>Automatikgetriebe einstufig</v>
      </c>
      <c r="O85" s="30" t="str">
        <f t="shared" si="21"/>
        <v>EX40_R8</v>
      </c>
      <c r="P85" s="59" t="str">
        <f>IF(C85=32,"",VLOOKUP(O85,Ausstattungslinie!$B$1:$D$732,2,FALSE))</f>
        <v>Plus</v>
      </c>
    </row>
    <row r="86" spans="1:16" hidden="1">
      <c r="A86" s="54">
        <v>536</v>
      </c>
      <c r="B86" s="33" t="s">
        <v>62</v>
      </c>
      <c r="C86" s="33" t="s">
        <v>48</v>
      </c>
      <c r="D86" s="34">
        <v>0</v>
      </c>
      <c r="E86" s="34" t="s">
        <v>53</v>
      </c>
      <c r="F86" s="34">
        <v>1</v>
      </c>
      <c r="G86" s="34">
        <v>19</v>
      </c>
      <c r="H86" s="40" t="s">
        <v>32</v>
      </c>
      <c r="I86" s="40"/>
      <c r="J86" s="36" t="str">
        <f t="shared" si="23"/>
        <v>536K7RA0F1</v>
      </c>
      <c r="K86" s="37" t="str">
        <f t="shared" si="22"/>
        <v>XC40 B3 (B) 7-Gang-Doppelkupplungsgetriebe Ultra Dark</v>
      </c>
      <c r="L86" s="37" t="s">
        <v>63</v>
      </c>
      <c r="M86" s="37" t="str">
        <f>VLOOKUP(B86,Motor!$A$1:$B$45,2,FALSE)</f>
        <v>B3 (B)</v>
      </c>
      <c r="N86" s="37" t="str">
        <f>VLOOKUP(E86,Getriebe!$B$1:$C$93,2,FALSE)</f>
        <v>7-Gang-Doppelkupplungsgetriebe</v>
      </c>
      <c r="O86" s="37" t="str">
        <f t="shared" si="21"/>
        <v>XC40_RA</v>
      </c>
      <c r="P86" s="55" t="str">
        <f>IF(C86=32,"",VLOOKUP(O86,Ausstattungslinie!$B$1:$D$732,2,FALSE))</f>
        <v>Ultra Dark</v>
      </c>
    </row>
    <row r="87" spans="1:16" hidden="1">
      <c r="A87" s="56">
        <v>536</v>
      </c>
      <c r="B87" s="49" t="s">
        <v>62</v>
      </c>
      <c r="C87" s="49" t="s">
        <v>50</v>
      </c>
      <c r="D87" s="50">
        <v>0</v>
      </c>
      <c r="E87" s="50" t="s">
        <v>53</v>
      </c>
      <c r="F87" s="50">
        <v>1</v>
      </c>
      <c r="G87" s="50">
        <v>19</v>
      </c>
      <c r="H87" s="53" t="s">
        <v>32</v>
      </c>
      <c r="I87" s="53"/>
      <c r="J87" s="51" t="str">
        <f t="shared" si="23"/>
        <v>536K7R50F1</v>
      </c>
      <c r="K87" s="52" t="str">
        <f t="shared" si="22"/>
        <v>XC40 B3 (B) 7-Gang-Doppelkupplungsgetriebe Plus Dark</v>
      </c>
      <c r="L87" s="52" t="s">
        <v>63</v>
      </c>
      <c r="M87" s="52" t="str">
        <f>VLOOKUP(B87,Motor!$A$1:$B$45,2,FALSE)</f>
        <v>B3 (B)</v>
      </c>
      <c r="N87" s="52" t="str">
        <f>VLOOKUP(E87,Getriebe!$B$1:$C$93,2,FALSE)</f>
        <v>7-Gang-Doppelkupplungsgetriebe</v>
      </c>
      <c r="O87" s="52" t="str">
        <f t="shared" si="21"/>
        <v>XC40_R5</v>
      </c>
      <c r="P87" s="57" t="str">
        <f>IF(C87=32,"",VLOOKUP(O87,Ausstattungslinie!$B$1:$D$732,2,FALSE))</f>
        <v>Plus Dark</v>
      </c>
    </row>
    <row r="88" spans="1:16" hidden="1">
      <c r="A88" s="56">
        <v>536</v>
      </c>
      <c r="B88" s="49" t="s">
        <v>62</v>
      </c>
      <c r="C88" s="49">
        <v>11</v>
      </c>
      <c r="D88" s="50">
        <v>0</v>
      </c>
      <c r="E88" s="50" t="s">
        <v>53</v>
      </c>
      <c r="F88" s="50">
        <v>1</v>
      </c>
      <c r="G88" s="50">
        <v>19</v>
      </c>
      <c r="H88" s="53" t="s">
        <v>32</v>
      </c>
      <c r="I88" s="53"/>
      <c r="J88" s="51" t="str">
        <f t="shared" ref="J88:J98" si="24">A88&amp;""&amp;B88&amp;""&amp;C88&amp;""&amp;D88&amp;E88&amp;F88</f>
        <v>536K7110F1</v>
      </c>
      <c r="K88" s="52" t="str">
        <f t="shared" si="22"/>
        <v>XC40 B3 (B) 7-Gang-Doppelkupplungsgetriebe Essential</v>
      </c>
      <c r="L88" s="52" t="s">
        <v>63</v>
      </c>
      <c r="M88" s="52" t="str">
        <f>VLOOKUP(B88,Motor!$A$1:$B$45,2,FALSE)</f>
        <v>B3 (B)</v>
      </c>
      <c r="N88" s="52" t="str">
        <f>VLOOKUP(E88,Getriebe!$B$1:$C$93,2,FALSE)</f>
        <v>7-Gang-Doppelkupplungsgetriebe</v>
      </c>
      <c r="O88" s="52" t="str">
        <f t="shared" si="21"/>
        <v>XC40_11</v>
      </c>
      <c r="P88" s="57" t="str">
        <f>IF(C88=32,"",VLOOKUP(O88,Ausstattungslinie!$B$1:$D$732,2,FALSE))</f>
        <v>Essential</v>
      </c>
    </row>
    <row r="89" spans="1:16" hidden="1">
      <c r="A89" s="56">
        <v>536</v>
      </c>
      <c r="B89" s="49" t="s">
        <v>62</v>
      </c>
      <c r="C89" s="49">
        <v>17</v>
      </c>
      <c r="D89" s="50">
        <v>0</v>
      </c>
      <c r="E89" s="50" t="s">
        <v>53</v>
      </c>
      <c r="F89" s="50">
        <v>1</v>
      </c>
      <c r="G89" s="50">
        <v>19</v>
      </c>
      <c r="H89" s="53" t="s">
        <v>32</v>
      </c>
      <c r="I89" s="53"/>
      <c r="J89" s="51" t="str">
        <f t="shared" si="24"/>
        <v>536K7170F1</v>
      </c>
      <c r="K89" s="52" t="str">
        <f t="shared" si="22"/>
        <v>XC40 B3 (B) 7-Gang-Doppelkupplungsgetriebe Core</v>
      </c>
      <c r="L89" s="52" t="s">
        <v>63</v>
      </c>
      <c r="M89" s="52" t="str">
        <f>VLOOKUP(B89,Motor!$A$1:$B$45,2,FALSE)</f>
        <v>B3 (B)</v>
      </c>
      <c r="N89" s="52" t="str">
        <f>VLOOKUP(E89,Getriebe!$B$1:$C$93,2,FALSE)</f>
        <v>7-Gang-Doppelkupplungsgetriebe</v>
      </c>
      <c r="O89" s="52" t="str">
        <f t="shared" si="21"/>
        <v>XC40_17</v>
      </c>
      <c r="P89" s="57" t="str">
        <f>IF(C89=32,"",VLOOKUP(O89,Ausstattungslinie!$B$1:$D$732,2,FALSE))</f>
        <v>Core</v>
      </c>
    </row>
    <row r="90" spans="1:16" hidden="1">
      <c r="A90" s="56">
        <v>536</v>
      </c>
      <c r="B90" s="49" t="s">
        <v>52</v>
      </c>
      <c r="C90" s="49" t="s">
        <v>48</v>
      </c>
      <c r="D90" s="50">
        <v>0</v>
      </c>
      <c r="E90" s="50" t="s">
        <v>53</v>
      </c>
      <c r="F90" s="50">
        <v>1</v>
      </c>
      <c r="G90" s="50">
        <v>19</v>
      </c>
      <c r="H90" s="53"/>
      <c r="I90" s="53"/>
      <c r="J90" s="51" t="str">
        <f t="shared" si="24"/>
        <v>536K8RA0F1</v>
      </c>
      <c r="K90" s="52" t="str">
        <f t="shared" si="22"/>
        <v>XC40 B4 (B) 7-Gang-Doppelkupplungsgetriebe Ultra Dark</v>
      </c>
      <c r="L90" s="52" t="s">
        <v>63</v>
      </c>
      <c r="M90" s="52" t="str">
        <f>VLOOKUP(B90,Motor!$A$1:$B$45,2,FALSE)</f>
        <v>B4 (B)</v>
      </c>
      <c r="N90" s="52" t="str">
        <f>VLOOKUP(E90,Getriebe!$B$1:$C$93,2,FALSE)</f>
        <v>7-Gang-Doppelkupplungsgetriebe</v>
      </c>
      <c r="O90" s="52" t="str">
        <f t="shared" si="21"/>
        <v>XC40_RA</v>
      </c>
      <c r="P90" s="57" t="str">
        <f>IF(C90=32,"",VLOOKUP(O90,Ausstattungslinie!$B$1:$D$732,2,FALSE))</f>
        <v>Ultra Dark</v>
      </c>
    </row>
    <row r="91" spans="1:16" hidden="1">
      <c r="A91" s="56">
        <v>536</v>
      </c>
      <c r="B91" s="49" t="s">
        <v>52</v>
      </c>
      <c r="C91" s="49" t="s">
        <v>50</v>
      </c>
      <c r="D91" s="50">
        <v>0</v>
      </c>
      <c r="E91" s="50" t="s">
        <v>53</v>
      </c>
      <c r="F91" s="50">
        <v>1</v>
      </c>
      <c r="G91" s="50">
        <v>19</v>
      </c>
      <c r="H91" s="53"/>
      <c r="I91" s="53"/>
      <c r="J91" s="51" t="str">
        <f t="shared" si="24"/>
        <v>536K8R50F1</v>
      </c>
      <c r="K91" s="52" t="str">
        <f t="shared" si="22"/>
        <v>XC40 B4 (B) 7-Gang-Doppelkupplungsgetriebe Plus Dark</v>
      </c>
      <c r="L91" s="52" t="s">
        <v>63</v>
      </c>
      <c r="M91" s="52" t="str">
        <f>VLOOKUP(B91,Motor!$A$1:$B$45,2,FALSE)</f>
        <v>B4 (B)</v>
      </c>
      <c r="N91" s="52" t="str">
        <f>VLOOKUP(E91,Getriebe!$B$1:$C$93,2,FALSE)</f>
        <v>7-Gang-Doppelkupplungsgetriebe</v>
      </c>
      <c r="O91" s="52" t="str">
        <f t="shared" si="21"/>
        <v>XC40_R5</v>
      </c>
      <c r="P91" s="57" t="str">
        <f>IF(C91=32,"",VLOOKUP(O91,Ausstattungslinie!$B$1:$D$732,2,FALSE))</f>
        <v>Plus Dark</v>
      </c>
    </row>
    <row r="92" spans="1:16" hidden="1">
      <c r="A92" s="58">
        <v>536</v>
      </c>
      <c r="B92" s="26" t="s">
        <v>52</v>
      </c>
      <c r="C92" s="26">
        <v>17</v>
      </c>
      <c r="D92" s="27">
        <v>0</v>
      </c>
      <c r="E92" s="27" t="s">
        <v>53</v>
      </c>
      <c r="F92" s="27">
        <v>1</v>
      </c>
      <c r="G92" s="27">
        <v>19</v>
      </c>
      <c r="H92" s="39"/>
      <c r="I92" s="39"/>
      <c r="J92" s="29" t="str">
        <f t="shared" si="24"/>
        <v>536K8170F1</v>
      </c>
      <c r="K92" s="30" t="str">
        <f t="shared" si="22"/>
        <v>XC40 B4 (B) 7-Gang-Doppelkupplungsgetriebe Core</v>
      </c>
      <c r="L92" s="30" t="s">
        <v>63</v>
      </c>
      <c r="M92" s="30" t="str">
        <f>VLOOKUP(B92,Motor!$A$1:$B$45,2,FALSE)</f>
        <v>B4 (B)</v>
      </c>
      <c r="N92" s="30" t="str">
        <f>VLOOKUP(E92,Getriebe!$B$1:$C$93,2,FALSE)</f>
        <v>7-Gang-Doppelkupplungsgetriebe</v>
      </c>
      <c r="O92" s="30" t="str">
        <f t="shared" si="21"/>
        <v>XC40_17</v>
      </c>
      <c r="P92" s="59" t="str">
        <f>IF(C92=32,"",VLOOKUP(O92,Ausstattungslinie!$B$1:$D$732,2,FALSE))</f>
        <v>Core</v>
      </c>
    </row>
    <row r="93" spans="1:16" hidden="1">
      <c r="A93" s="17">
        <v>539</v>
      </c>
      <c r="B93" s="49" t="s">
        <v>54</v>
      </c>
      <c r="C93" s="49" t="s">
        <v>57</v>
      </c>
      <c r="D93" s="50">
        <v>0</v>
      </c>
      <c r="E93" s="50" t="s">
        <v>19</v>
      </c>
      <c r="F93" s="50">
        <v>1</v>
      </c>
      <c r="G93" s="50">
        <v>19</v>
      </c>
      <c r="H93" s="53"/>
      <c r="I93" s="53"/>
      <c r="J93" s="51" t="str">
        <f t="shared" si="24"/>
        <v>539EBR60L1</v>
      </c>
      <c r="K93" s="52" t="str">
        <f t="shared" si="22"/>
        <v>EC40 Single Motor RWD Automatikgetriebe einstufig Core</v>
      </c>
      <c r="L93" s="52" t="str">
        <f>VLOOKUP(A93,Typ!$A$1:$B$99,2,FALSE)</f>
        <v>EC40</v>
      </c>
      <c r="M93" s="52" t="str">
        <f>VLOOKUP(B93,Motor!$A$1:$B$45,2,FALSE)</f>
        <v>Single Motor RWD</v>
      </c>
      <c r="N93" s="52" t="str">
        <f>VLOOKUP(E93,Getriebe!$B$1:$C$93,2,FALSE)</f>
        <v>Automatikgetriebe einstufig</v>
      </c>
      <c r="O93" s="52" t="str">
        <f t="shared" si="21"/>
        <v>EC40_R6</v>
      </c>
      <c r="P93" s="18" t="str">
        <f>IF(C93=32,"",VLOOKUP(O93,Ausstattungslinie!$B$1:$D$732,2,FALSE))</f>
        <v>Core</v>
      </c>
    </row>
    <row r="94" spans="1:16" hidden="1">
      <c r="A94" s="17">
        <v>539</v>
      </c>
      <c r="B94" s="49" t="s">
        <v>54</v>
      </c>
      <c r="C94" s="49" t="s">
        <v>58</v>
      </c>
      <c r="D94" s="50">
        <v>0</v>
      </c>
      <c r="E94" s="50" t="s">
        <v>19</v>
      </c>
      <c r="F94" s="50">
        <v>1</v>
      </c>
      <c r="G94" s="50">
        <v>19</v>
      </c>
      <c r="H94" s="53"/>
      <c r="I94" s="53"/>
      <c r="J94" s="51" t="str">
        <f t="shared" si="24"/>
        <v>539EBR80L1</v>
      </c>
      <c r="K94" s="52" t="str">
        <f t="shared" si="22"/>
        <v>EC40 Single Motor RWD Automatikgetriebe einstufig Plus</v>
      </c>
      <c r="L94" s="52" t="str">
        <f>VLOOKUP(A94,Typ!$A$1:$B$99,2,FALSE)</f>
        <v>EC40</v>
      </c>
      <c r="M94" s="52" t="str">
        <f>VLOOKUP(B94,Motor!$A$1:$B$45,2,FALSE)</f>
        <v>Single Motor RWD</v>
      </c>
      <c r="N94" s="52" t="str">
        <f>VLOOKUP(E94,Getriebe!$B$1:$C$93,2,FALSE)</f>
        <v>Automatikgetriebe einstufig</v>
      </c>
      <c r="O94" s="52" t="str">
        <f t="shared" si="21"/>
        <v>EC40_R8</v>
      </c>
      <c r="P94" s="18" t="str">
        <f>IF(C94=32,"",VLOOKUP(O94,Ausstattungslinie!$B$1:$D$732,2,FALSE))</f>
        <v>Plus</v>
      </c>
    </row>
    <row r="95" spans="1:16" hidden="1">
      <c r="A95" s="17">
        <v>539</v>
      </c>
      <c r="B95" s="49" t="s">
        <v>59</v>
      </c>
      <c r="C95" s="49" t="s">
        <v>60</v>
      </c>
      <c r="D95" s="50">
        <v>0</v>
      </c>
      <c r="E95" s="50" t="s">
        <v>19</v>
      </c>
      <c r="F95" s="50">
        <v>1</v>
      </c>
      <c r="G95" s="50">
        <v>19</v>
      </c>
      <c r="H95" s="53"/>
      <c r="I95" s="53"/>
      <c r="J95" s="51" t="str">
        <f t="shared" si="24"/>
        <v>539EHRB0L1</v>
      </c>
      <c r="K95" s="52" t="str">
        <f t="shared" si="22"/>
        <v>EC40 Single Motor Extended Range RWD Automatikgetriebe einstufig Ultra</v>
      </c>
      <c r="L95" s="52" t="str">
        <f>VLOOKUP(A95,Typ!$A$1:$B$99,2,FALSE)</f>
        <v>EC40</v>
      </c>
      <c r="M95" s="52" t="str">
        <f>VLOOKUP(B95,Motor!$A$1:$B$45,2,FALSE)</f>
        <v>Single Motor Extended Range RWD</v>
      </c>
      <c r="N95" s="52" t="str">
        <f>VLOOKUP(E95,Getriebe!$B$1:$C$93,2,FALSE)</f>
        <v>Automatikgetriebe einstufig</v>
      </c>
      <c r="O95" s="52" t="str">
        <f t="shared" si="21"/>
        <v>EC40_RB</v>
      </c>
      <c r="P95" s="18" t="str">
        <f>IF(C95=32,"",VLOOKUP(O95,Ausstattungslinie!$B$1:$D$732,2,FALSE))</f>
        <v>Ultra</v>
      </c>
    </row>
    <row r="96" spans="1:16" hidden="1">
      <c r="A96" s="17">
        <v>539</v>
      </c>
      <c r="B96" s="49" t="s">
        <v>59</v>
      </c>
      <c r="C96" s="49" t="s">
        <v>57</v>
      </c>
      <c r="D96" s="50">
        <v>0</v>
      </c>
      <c r="E96" s="50" t="s">
        <v>19</v>
      </c>
      <c r="F96" s="50">
        <v>1</v>
      </c>
      <c r="G96" s="50">
        <v>19</v>
      </c>
      <c r="H96" s="53"/>
      <c r="I96" s="53"/>
      <c r="J96" s="51" t="str">
        <f t="shared" si="24"/>
        <v>539EHR60L1</v>
      </c>
      <c r="K96" s="52" t="str">
        <f t="shared" si="22"/>
        <v>EC40 Single Motor Extended Range RWD Automatikgetriebe einstufig Core</v>
      </c>
      <c r="L96" s="52" t="str">
        <f>VLOOKUP(A96,Typ!$A$1:$B$99,2,FALSE)</f>
        <v>EC40</v>
      </c>
      <c r="M96" s="52" t="str">
        <f>VLOOKUP(B96,Motor!$A$1:$B$45,2,FALSE)</f>
        <v>Single Motor Extended Range RWD</v>
      </c>
      <c r="N96" s="52" t="str">
        <f>VLOOKUP(E96,Getriebe!$B$1:$C$93,2,FALSE)</f>
        <v>Automatikgetriebe einstufig</v>
      </c>
      <c r="O96" s="52" t="str">
        <f t="shared" si="21"/>
        <v>EC40_R6</v>
      </c>
      <c r="P96" s="18" t="str">
        <f>IF(C96=32,"",VLOOKUP(O96,Ausstattungslinie!$B$1:$D$732,2,FALSE))</f>
        <v>Core</v>
      </c>
    </row>
    <row r="97" spans="1:16" hidden="1">
      <c r="A97" s="17">
        <v>539</v>
      </c>
      <c r="B97" s="49" t="s">
        <v>59</v>
      </c>
      <c r="C97" s="49" t="s">
        <v>58</v>
      </c>
      <c r="D97" s="50">
        <v>0</v>
      </c>
      <c r="E97" s="50" t="s">
        <v>19</v>
      </c>
      <c r="F97" s="50">
        <v>1</v>
      </c>
      <c r="G97" s="50">
        <v>19</v>
      </c>
      <c r="H97" s="53"/>
      <c r="I97" s="53"/>
      <c r="J97" s="51" t="str">
        <f t="shared" si="24"/>
        <v>539EHR80L1</v>
      </c>
      <c r="K97" s="52" t="str">
        <f t="shared" si="22"/>
        <v>EC40 Single Motor Extended Range RWD Automatikgetriebe einstufig Plus</v>
      </c>
      <c r="L97" s="52" t="str">
        <f>VLOOKUP(A97,Typ!$A$1:$B$99,2,FALSE)</f>
        <v>EC40</v>
      </c>
      <c r="M97" s="52" t="str">
        <f>VLOOKUP(B97,Motor!$A$1:$B$45,2,FALSE)</f>
        <v>Single Motor Extended Range RWD</v>
      </c>
      <c r="N97" s="52" t="str">
        <f>VLOOKUP(E97,Getriebe!$B$1:$C$93,2,FALSE)</f>
        <v>Automatikgetriebe einstufig</v>
      </c>
      <c r="O97" s="52" t="str">
        <f t="shared" si="21"/>
        <v>EC40_R8</v>
      </c>
      <c r="P97" s="18" t="str">
        <f>IF(C97=32,"",VLOOKUP(O97,Ausstattungslinie!$B$1:$D$732,2,FALSE))</f>
        <v>Plus</v>
      </c>
    </row>
    <row r="98" spans="1:16" hidden="1">
      <c r="A98" s="17">
        <v>539</v>
      </c>
      <c r="B98" s="49" t="s">
        <v>61</v>
      </c>
      <c r="C98" s="49" t="s">
        <v>60</v>
      </c>
      <c r="D98" s="50">
        <v>0</v>
      </c>
      <c r="E98" s="50" t="s">
        <v>17</v>
      </c>
      <c r="F98" s="50">
        <v>1</v>
      </c>
      <c r="G98" s="50">
        <v>19</v>
      </c>
      <c r="H98" s="53"/>
      <c r="I98" s="53"/>
      <c r="J98" s="51" t="str">
        <f t="shared" si="24"/>
        <v>539ERRB0E1</v>
      </c>
      <c r="K98" s="52" t="str">
        <f t="shared" si="22"/>
        <v>EC40 Twin Motor AWD Automatikgetriebe einstufig Ultra</v>
      </c>
      <c r="L98" s="52" t="str">
        <f>VLOOKUP(A98,Typ!$A$1:$B$99,2,FALSE)</f>
        <v>EC40</v>
      </c>
      <c r="M98" s="52" t="str">
        <f>VLOOKUP(B98,Motor!$A$1:$B$45,2,FALSE)</f>
        <v>Twin Motor AWD</v>
      </c>
      <c r="N98" s="52" t="str">
        <f>VLOOKUP(E98,Getriebe!$B$1:$C$93,2,FALSE)</f>
        <v>Automatikgetriebe einstufig</v>
      </c>
      <c r="O98" s="52" t="str">
        <f t="shared" si="21"/>
        <v>EC40_RB</v>
      </c>
      <c r="P98" s="18" t="str">
        <f>IF(C98=32,"",VLOOKUP(O98,Ausstattungslinie!$B$1:$D$732,2,FALSE))</f>
        <v>Ultra</v>
      </c>
    </row>
    <row r="99" spans="1:16" ht="15.75" hidden="1" thickBot="1">
      <c r="A99" s="19">
        <v>539</v>
      </c>
      <c r="B99" s="20" t="s">
        <v>61</v>
      </c>
      <c r="C99" s="20" t="s">
        <v>58</v>
      </c>
      <c r="D99" s="21">
        <v>0</v>
      </c>
      <c r="E99" s="21" t="s">
        <v>17</v>
      </c>
      <c r="F99" s="21">
        <v>1</v>
      </c>
      <c r="G99" s="21">
        <v>19</v>
      </c>
      <c r="H99" s="48"/>
      <c r="I99" s="48"/>
      <c r="J99" s="22" t="str">
        <f t="shared" ref="J99" si="25">A99&amp;""&amp;B99&amp;""&amp;C99&amp;""&amp;D99&amp;E99&amp;F99</f>
        <v>539ERR80E1</v>
      </c>
      <c r="K99" s="23" t="str">
        <f t="shared" ref="K99" si="26">L99&amp;" "&amp;M99&amp;" "&amp;N99&amp;" "&amp;P99</f>
        <v>EC40 Twin Motor AWD Automatikgetriebe einstufig Plus</v>
      </c>
      <c r="L99" s="23" t="str">
        <f>VLOOKUP(A99,Typ!$A$1:$B$99,2,FALSE)</f>
        <v>EC40</v>
      </c>
      <c r="M99" s="23" t="str">
        <f>VLOOKUP(B99,Motor!$A$1:$B$45,2,FALSE)</f>
        <v>Twin Motor AWD</v>
      </c>
      <c r="N99" s="23" t="str">
        <f>VLOOKUP(E99,Getriebe!$B$1:$C$93,2,FALSE)</f>
        <v>Automatikgetriebe einstufig</v>
      </c>
      <c r="O99" s="23" t="str">
        <f t="shared" si="21"/>
        <v>EC40_R8</v>
      </c>
      <c r="P99" s="24" t="str">
        <f>IF(C99=32,"",VLOOKUP(O99,Ausstattungslinie!$B$1:$D$732,2,FALSE))</f>
        <v>Plus</v>
      </c>
    </row>
    <row r="100" spans="1:16">
      <c r="J100"/>
      <c r="K100"/>
      <c r="L100"/>
      <c r="M100"/>
      <c r="N100"/>
      <c r="O100"/>
      <c r="P100"/>
    </row>
    <row r="101" spans="1:16">
      <c r="K101" s="1"/>
      <c r="L101"/>
      <c r="M101"/>
      <c r="N101"/>
      <c r="O101"/>
      <c r="P101"/>
    </row>
    <row r="102" spans="1:16">
      <c r="K102" s="1"/>
      <c r="L102"/>
      <c r="M102"/>
      <c r="N102"/>
      <c r="O102"/>
      <c r="P102"/>
    </row>
    <row r="103" spans="1:16">
      <c r="K103" s="1"/>
      <c r="L103"/>
      <c r="M103"/>
      <c r="N103"/>
      <c r="O103"/>
      <c r="P103"/>
    </row>
    <row r="104" spans="1:16">
      <c r="K104" s="1"/>
      <c r="L104"/>
      <c r="M104"/>
      <c r="N104"/>
      <c r="O104"/>
      <c r="P104"/>
    </row>
    <row r="105" spans="1:16">
      <c r="K105" s="1"/>
      <c r="L105"/>
      <c r="M105"/>
      <c r="N105"/>
      <c r="O105"/>
      <c r="P105"/>
    </row>
    <row r="106" spans="1:16">
      <c r="K106" s="1"/>
      <c r="L106"/>
      <c r="M106"/>
      <c r="N106"/>
      <c r="O106"/>
      <c r="P106"/>
    </row>
    <row r="107" spans="1:16">
      <c r="K107" s="1"/>
      <c r="L107"/>
      <c r="M107"/>
      <c r="N107"/>
      <c r="O107"/>
      <c r="P107"/>
    </row>
    <row r="108" spans="1:16">
      <c r="K108" s="1"/>
      <c r="L108"/>
      <c r="M108"/>
      <c r="N108"/>
      <c r="O108"/>
      <c r="P108"/>
    </row>
    <row r="109" spans="1:16">
      <c r="K109" s="1"/>
      <c r="L109"/>
      <c r="M109"/>
      <c r="N109"/>
      <c r="O109"/>
      <c r="P109"/>
    </row>
    <row r="110" spans="1:16">
      <c r="K110" s="1"/>
      <c r="L110"/>
      <c r="M110"/>
      <c r="N110"/>
      <c r="O110"/>
      <c r="P110"/>
    </row>
    <row r="111" spans="1:16">
      <c r="K111" s="1"/>
      <c r="L111"/>
      <c r="M111"/>
      <c r="N111"/>
      <c r="O111"/>
      <c r="P111"/>
    </row>
    <row r="112" spans="1:16">
      <c r="K112" s="1"/>
      <c r="L112"/>
      <c r="M112"/>
      <c r="N112"/>
      <c r="O112"/>
      <c r="P112"/>
    </row>
    <row r="113" spans="11:16">
      <c r="K113" s="1"/>
      <c r="L113"/>
      <c r="M113"/>
      <c r="N113"/>
      <c r="O113"/>
      <c r="P113"/>
    </row>
    <row r="114" spans="11:16">
      <c r="K114" s="1"/>
      <c r="L114"/>
      <c r="M114"/>
      <c r="N114"/>
      <c r="O114"/>
      <c r="P114"/>
    </row>
    <row r="115" spans="11:16">
      <c r="K115" s="1"/>
      <c r="L115"/>
      <c r="M115"/>
      <c r="N115"/>
      <c r="O115"/>
      <c r="P115"/>
    </row>
    <row r="116" spans="11:16">
      <c r="K116" s="1"/>
      <c r="L116"/>
      <c r="M116"/>
      <c r="N116"/>
      <c r="O116"/>
      <c r="P116"/>
    </row>
    <row r="117" spans="11:16">
      <c r="K117" s="1"/>
      <c r="L117"/>
      <c r="M117"/>
      <c r="N117"/>
      <c r="O117"/>
      <c r="P117"/>
    </row>
    <row r="118" spans="11:16">
      <c r="K118" s="1"/>
      <c r="L118"/>
      <c r="M118"/>
      <c r="N118"/>
      <c r="O118"/>
      <c r="P118"/>
    </row>
    <row r="119" spans="11:16">
      <c r="K119" s="1"/>
      <c r="L119"/>
      <c r="M119"/>
      <c r="N119"/>
      <c r="O119"/>
      <c r="P119"/>
    </row>
    <row r="120" spans="11:16">
      <c r="K120" s="1"/>
      <c r="L120"/>
      <c r="M120"/>
      <c r="N120"/>
      <c r="O120"/>
      <c r="P120"/>
    </row>
    <row r="121" spans="11:16">
      <c r="K121" s="1"/>
      <c r="L121"/>
      <c r="M121"/>
      <c r="N121"/>
      <c r="O121"/>
      <c r="P121"/>
    </row>
    <row r="122" spans="11:16">
      <c r="K122" s="1"/>
      <c r="L122"/>
      <c r="M122"/>
      <c r="N122"/>
      <c r="O122"/>
      <c r="P122"/>
    </row>
    <row r="123" spans="11:16">
      <c r="K123" s="1"/>
      <c r="L123"/>
      <c r="M123"/>
      <c r="N123"/>
      <c r="O123"/>
      <c r="P123"/>
    </row>
    <row r="124" spans="11:16">
      <c r="K124" s="1"/>
      <c r="L124"/>
      <c r="M124"/>
      <c r="N124"/>
      <c r="O124"/>
      <c r="P124"/>
    </row>
    <row r="125" spans="11:16">
      <c r="K125" s="1"/>
      <c r="L125"/>
      <c r="M125"/>
      <c r="N125"/>
      <c r="O125"/>
      <c r="P125"/>
    </row>
    <row r="126" spans="11:16">
      <c r="K126" s="1"/>
      <c r="L126"/>
      <c r="M126"/>
      <c r="N126"/>
      <c r="O126"/>
      <c r="P126"/>
    </row>
    <row r="127" spans="11:16">
      <c r="K127" s="1"/>
      <c r="L127"/>
      <c r="M127"/>
      <c r="N127"/>
      <c r="O127"/>
      <c r="P127"/>
    </row>
    <row r="128" spans="11:16">
      <c r="K128" s="1"/>
      <c r="L128"/>
      <c r="M128"/>
      <c r="N128"/>
      <c r="O128"/>
      <c r="P128"/>
    </row>
    <row r="129" spans="11:16">
      <c r="K129" s="1"/>
      <c r="L129"/>
      <c r="M129"/>
      <c r="N129"/>
      <c r="O129"/>
      <c r="P129"/>
    </row>
    <row r="130" spans="11:16">
      <c r="K130" s="1"/>
      <c r="L130"/>
      <c r="M130"/>
      <c r="N130"/>
      <c r="O130"/>
      <c r="P130"/>
    </row>
    <row r="131" spans="11:16">
      <c r="K131" s="1"/>
      <c r="L131"/>
      <c r="M131"/>
      <c r="N131"/>
      <c r="O131"/>
      <c r="P131"/>
    </row>
    <row r="132" spans="11:16">
      <c r="K132" s="1"/>
      <c r="L132"/>
      <c r="M132"/>
      <c r="N132"/>
      <c r="O132"/>
      <c r="P132"/>
    </row>
    <row r="133" spans="11:16">
      <c r="K133" s="1"/>
      <c r="L133"/>
      <c r="M133"/>
      <c r="N133"/>
      <c r="O133"/>
      <c r="P133"/>
    </row>
    <row r="134" spans="11:16">
      <c r="K134" s="1"/>
      <c r="L134"/>
      <c r="M134"/>
      <c r="N134"/>
      <c r="O134"/>
      <c r="P134"/>
    </row>
    <row r="135" spans="11:16">
      <c r="K135" s="1"/>
      <c r="L135"/>
      <c r="M135"/>
      <c r="N135"/>
      <c r="O135"/>
      <c r="P135"/>
    </row>
    <row r="136" spans="11:16">
      <c r="K136" s="1"/>
      <c r="L136"/>
      <c r="M136"/>
      <c r="N136"/>
      <c r="O136"/>
      <c r="P136"/>
    </row>
    <row r="137" spans="11:16">
      <c r="K137" s="1"/>
      <c r="L137"/>
      <c r="M137"/>
      <c r="N137"/>
      <c r="O137"/>
      <c r="P137"/>
    </row>
    <row r="138" spans="11:16">
      <c r="K138" s="1"/>
      <c r="L138"/>
      <c r="M138"/>
      <c r="N138"/>
      <c r="O138"/>
      <c r="P138"/>
    </row>
    <row r="139" spans="11:16">
      <c r="K139" s="1"/>
      <c r="L139"/>
      <c r="M139"/>
      <c r="N139"/>
      <c r="O139"/>
      <c r="P139"/>
    </row>
    <row r="140" spans="11:16">
      <c r="K140" s="1"/>
      <c r="L140"/>
      <c r="M140"/>
      <c r="N140"/>
      <c r="O140"/>
      <c r="P140"/>
    </row>
    <row r="141" spans="11:16">
      <c r="K141" s="1"/>
      <c r="L141"/>
      <c r="M141"/>
      <c r="N141"/>
      <c r="O141"/>
      <c r="P141"/>
    </row>
    <row r="142" spans="11:16">
      <c r="K142" s="1"/>
      <c r="L142"/>
      <c r="M142"/>
      <c r="N142"/>
      <c r="O142"/>
      <c r="P142"/>
    </row>
    <row r="143" spans="11:16">
      <c r="K143" s="1"/>
      <c r="L143"/>
      <c r="M143"/>
      <c r="N143"/>
      <c r="O143"/>
      <c r="P143"/>
    </row>
    <row r="144" spans="11:16">
      <c r="K144" s="1"/>
      <c r="L144"/>
      <c r="M144"/>
      <c r="N144"/>
      <c r="O144"/>
      <c r="P144"/>
    </row>
    <row r="145" spans="11:16">
      <c r="K145" s="1"/>
      <c r="L145"/>
      <c r="M145"/>
      <c r="N145"/>
      <c r="O145"/>
      <c r="P145"/>
    </row>
    <row r="146" spans="11:16">
      <c r="K146" s="1"/>
      <c r="L146"/>
      <c r="M146"/>
      <c r="N146"/>
      <c r="O146"/>
      <c r="P146"/>
    </row>
    <row r="147" spans="11:16">
      <c r="K147" s="1"/>
      <c r="L147"/>
      <c r="M147"/>
      <c r="N147"/>
      <c r="O147"/>
      <c r="P147"/>
    </row>
    <row r="148" spans="11:16">
      <c r="K148" s="1"/>
      <c r="L148"/>
      <c r="M148"/>
      <c r="N148"/>
      <c r="O148"/>
      <c r="P148"/>
    </row>
    <row r="149" spans="11:16">
      <c r="K149" s="1"/>
      <c r="L149"/>
      <c r="M149"/>
      <c r="N149"/>
      <c r="O149"/>
      <c r="P149"/>
    </row>
    <row r="150" spans="11:16">
      <c r="K150" s="1"/>
      <c r="L150"/>
      <c r="M150"/>
      <c r="N150"/>
      <c r="O150"/>
      <c r="P150"/>
    </row>
    <row r="151" spans="11:16">
      <c r="K151" s="1"/>
      <c r="L151"/>
      <c r="M151"/>
      <c r="N151"/>
      <c r="O151"/>
      <c r="P151"/>
    </row>
    <row r="152" spans="11:16">
      <c r="K152" s="1"/>
      <c r="L152"/>
      <c r="M152"/>
      <c r="N152"/>
      <c r="O152"/>
      <c r="P152"/>
    </row>
    <row r="153" spans="11:16">
      <c r="K153" s="1"/>
      <c r="L153"/>
      <c r="M153"/>
      <c r="N153"/>
      <c r="O153"/>
      <c r="P153"/>
    </row>
    <row r="154" spans="11:16">
      <c r="K154" s="1"/>
      <c r="L154"/>
      <c r="M154"/>
      <c r="N154"/>
      <c r="O154"/>
      <c r="P154"/>
    </row>
    <row r="155" spans="11:16">
      <c r="K155" s="1"/>
      <c r="L155"/>
      <c r="M155"/>
      <c r="N155"/>
      <c r="O155"/>
      <c r="P155"/>
    </row>
    <row r="156" spans="11:16">
      <c r="K156" s="1"/>
      <c r="L156"/>
      <c r="M156"/>
      <c r="N156"/>
      <c r="O156"/>
      <c r="P156"/>
    </row>
    <row r="157" spans="11:16">
      <c r="K157" s="1"/>
      <c r="L157"/>
      <c r="M157"/>
      <c r="N157"/>
      <c r="O157"/>
      <c r="P157"/>
    </row>
    <row r="158" spans="11:16">
      <c r="K158" s="1"/>
      <c r="L158"/>
      <c r="M158"/>
      <c r="N158"/>
      <c r="O158"/>
      <c r="P158"/>
    </row>
    <row r="159" spans="11:16">
      <c r="K159" s="1"/>
      <c r="L159"/>
      <c r="M159"/>
      <c r="N159"/>
      <c r="O159"/>
      <c r="P159"/>
    </row>
    <row r="160" spans="11:16">
      <c r="K160" s="1"/>
      <c r="L160"/>
      <c r="M160"/>
      <c r="N160"/>
      <c r="O160"/>
      <c r="P160"/>
    </row>
    <row r="161" spans="11:16">
      <c r="K161" s="1"/>
      <c r="L161"/>
      <c r="M161"/>
      <c r="N161"/>
      <c r="O161"/>
      <c r="P161"/>
    </row>
    <row r="162" spans="11:16">
      <c r="K162" s="1"/>
      <c r="L162"/>
      <c r="M162"/>
      <c r="N162"/>
      <c r="O162"/>
      <c r="P162"/>
    </row>
    <row r="163" spans="11:16">
      <c r="K163" s="1"/>
      <c r="L163"/>
      <c r="M163"/>
      <c r="N163"/>
      <c r="O163"/>
      <c r="P163"/>
    </row>
    <row r="164" spans="11:16">
      <c r="K164" s="1"/>
      <c r="L164"/>
      <c r="M164"/>
      <c r="N164"/>
      <c r="O164"/>
      <c r="P164"/>
    </row>
    <row r="165" spans="11:16">
      <c r="K165" s="1"/>
      <c r="L165"/>
      <c r="M165"/>
      <c r="N165"/>
      <c r="O165"/>
      <c r="P165"/>
    </row>
    <row r="166" spans="11:16">
      <c r="K166" s="1"/>
      <c r="L166"/>
      <c r="M166"/>
      <c r="N166"/>
      <c r="O166"/>
      <c r="P166"/>
    </row>
    <row r="167" spans="11:16">
      <c r="K167" s="1"/>
      <c r="L167"/>
      <c r="M167"/>
      <c r="N167"/>
      <c r="O167"/>
      <c r="P167"/>
    </row>
    <row r="168" spans="11:16">
      <c r="K168" s="1"/>
      <c r="L168"/>
      <c r="M168"/>
      <c r="N168"/>
      <c r="O168"/>
      <c r="P168"/>
    </row>
    <row r="169" spans="11:16">
      <c r="K169" s="1"/>
      <c r="L169"/>
      <c r="M169"/>
      <c r="N169"/>
      <c r="O169"/>
      <c r="P169"/>
    </row>
    <row r="170" spans="11:16">
      <c r="K170" s="1"/>
      <c r="L170"/>
      <c r="M170"/>
      <c r="N170"/>
      <c r="O170"/>
      <c r="P170"/>
    </row>
    <row r="171" spans="11:16">
      <c r="K171" s="1"/>
      <c r="L171"/>
      <c r="M171"/>
      <c r="N171"/>
      <c r="O171"/>
      <c r="P171"/>
    </row>
    <row r="172" spans="11:16">
      <c r="K172" s="1"/>
      <c r="L172"/>
      <c r="M172"/>
      <c r="N172"/>
      <c r="O172"/>
      <c r="P172"/>
    </row>
    <row r="173" spans="11:16">
      <c r="K173" s="1"/>
      <c r="L173"/>
      <c r="M173"/>
      <c r="N173"/>
      <c r="O173"/>
      <c r="P173"/>
    </row>
    <row r="174" spans="11:16">
      <c r="K174" s="1"/>
      <c r="L174"/>
      <c r="M174"/>
      <c r="N174"/>
      <c r="O174"/>
      <c r="P174"/>
    </row>
    <row r="175" spans="11:16">
      <c r="K175" s="1"/>
      <c r="L175"/>
      <c r="M175"/>
      <c r="N175"/>
      <c r="O175"/>
      <c r="P175"/>
    </row>
    <row r="176" spans="11:16">
      <c r="K176" s="1"/>
      <c r="L176"/>
      <c r="M176"/>
      <c r="N176"/>
      <c r="O176"/>
      <c r="P176"/>
    </row>
    <row r="177" spans="11:16">
      <c r="K177" s="1"/>
      <c r="L177"/>
      <c r="M177"/>
      <c r="N177"/>
      <c r="O177"/>
      <c r="P177"/>
    </row>
    <row r="178" spans="11:16">
      <c r="K178" s="1"/>
      <c r="L178"/>
      <c r="M178"/>
      <c r="N178"/>
      <c r="O178"/>
      <c r="P178"/>
    </row>
    <row r="179" spans="11:16">
      <c r="K179" s="1"/>
      <c r="L179"/>
      <c r="M179"/>
      <c r="N179"/>
      <c r="O179"/>
      <c r="P179"/>
    </row>
    <row r="180" spans="11:16">
      <c r="K180" s="1"/>
      <c r="L180"/>
      <c r="M180"/>
      <c r="N180"/>
      <c r="O180"/>
      <c r="P180"/>
    </row>
    <row r="181" spans="11:16">
      <c r="K181" s="1"/>
      <c r="L181"/>
      <c r="M181"/>
      <c r="N181"/>
      <c r="O181"/>
      <c r="P181"/>
    </row>
    <row r="182" spans="11:16">
      <c r="K182" s="1"/>
      <c r="L182"/>
      <c r="M182"/>
      <c r="N182"/>
      <c r="O182"/>
      <c r="P182"/>
    </row>
    <row r="183" spans="11:16">
      <c r="K183" s="1"/>
      <c r="L183"/>
      <c r="M183"/>
      <c r="N183"/>
      <c r="O183"/>
      <c r="P183"/>
    </row>
    <row r="184" spans="11:16">
      <c r="K184" s="1"/>
      <c r="L184"/>
      <c r="M184"/>
      <c r="N184"/>
      <c r="O184"/>
      <c r="P184"/>
    </row>
    <row r="185" spans="11:16">
      <c r="K185" s="1"/>
      <c r="L185"/>
      <c r="M185"/>
      <c r="N185"/>
      <c r="O185"/>
      <c r="P185"/>
    </row>
    <row r="186" spans="11:16">
      <c r="K186" s="1"/>
      <c r="L186"/>
      <c r="M186"/>
      <c r="N186"/>
      <c r="O186"/>
      <c r="P186"/>
    </row>
    <row r="187" spans="11:16">
      <c r="K187" s="1"/>
      <c r="L187"/>
      <c r="M187"/>
      <c r="N187"/>
      <c r="O187"/>
      <c r="P187"/>
    </row>
    <row r="188" spans="11:16">
      <c r="K188" s="1"/>
      <c r="L188"/>
      <c r="M188"/>
      <c r="N188"/>
      <c r="O188"/>
      <c r="P188"/>
    </row>
    <row r="189" spans="11:16">
      <c r="K189" s="1"/>
      <c r="L189"/>
      <c r="M189"/>
      <c r="N189"/>
      <c r="O189"/>
      <c r="P189"/>
    </row>
    <row r="190" spans="11:16">
      <c r="K190" s="1"/>
      <c r="L190"/>
      <c r="M190"/>
      <c r="N190"/>
      <c r="O190"/>
      <c r="P190"/>
    </row>
    <row r="191" spans="11:16">
      <c r="K191" s="1"/>
      <c r="L191"/>
      <c r="M191"/>
      <c r="N191"/>
      <c r="O191"/>
      <c r="P191"/>
    </row>
    <row r="192" spans="11:16">
      <c r="K192" s="1"/>
      <c r="L192"/>
      <c r="M192"/>
      <c r="N192"/>
      <c r="O192"/>
      <c r="P192"/>
    </row>
    <row r="193" spans="11:16">
      <c r="K193" s="1"/>
      <c r="L193"/>
      <c r="M193"/>
      <c r="N193"/>
      <c r="O193"/>
      <c r="P193"/>
    </row>
    <row r="194" spans="11:16">
      <c r="K194" s="1"/>
      <c r="L194"/>
      <c r="M194"/>
      <c r="N194"/>
      <c r="O194"/>
      <c r="P194"/>
    </row>
    <row r="195" spans="11:16">
      <c r="K195" s="1"/>
      <c r="L195"/>
      <c r="M195"/>
      <c r="N195"/>
      <c r="O195"/>
      <c r="P195"/>
    </row>
    <row r="196" spans="11:16">
      <c r="K196" s="1"/>
      <c r="L196"/>
      <c r="M196"/>
      <c r="N196"/>
      <c r="O196"/>
      <c r="P196"/>
    </row>
    <row r="197" spans="11:16">
      <c r="K197" s="1"/>
      <c r="L197"/>
      <c r="M197"/>
      <c r="N197"/>
      <c r="O197"/>
      <c r="P197"/>
    </row>
    <row r="198" spans="11:16">
      <c r="K198" s="1"/>
      <c r="L198"/>
      <c r="M198"/>
      <c r="N198"/>
      <c r="O198"/>
      <c r="P198"/>
    </row>
    <row r="199" spans="11:16">
      <c r="K199" s="1"/>
      <c r="L199"/>
      <c r="M199"/>
      <c r="N199"/>
      <c r="O199"/>
      <c r="P199"/>
    </row>
    <row r="200" spans="11:16">
      <c r="K200" s="1"/>
      <c r="L200"/>
      <c r="M200"/>
      <c r="N200"/>
      <c r="O200"/>
      <c r="P200"/>
    </row>
    <row r="201" spans="11:16">
      <c r="K201" s="1"/>
      <c r="L201"/>
      <c r="M201"/>
      <c r="N201"/>
      <c r="O201"/>
      <c r="P201"/>
    </row>
    <row r="202" spans="11:16">
      <c r="K202" s="1"/>
      <c r="L202"/>
      <c r="M202"/>
      <c r="N202"/>
      <c r="O202"/>
      <c r="P202"/>
    </row>
    <row r="203" spans="11:16">
      <c r="K203" s="1"/>
      <c r="L203"/>
      <c r="M203"/>
      <c r="N203"/>
      <c r="O203"/>
      <c r="P203"/>
    </row>
    <row r="204" spans="11:16">
      <c r="K204" s="1"/>
      <c r="L204"/>
      <c r="M204"/>
      <c r="N204"/>
      <c r="O204"/>
      <c r="P204"/>
    </row>
    <row r="205" spans="11:16">
      <c r="K205" s="1"/>
      <c r="L205"/>
      <c r="M205"/>
      <c r="N205"/>
      <c r="O205"/>
      <c r="P205"/>
    </row>
    <row r="206" spans="11:16">
      <c r="K206" s="1"/>
      <c r="L206"/>
      <c r="M206"/>
      <c r="N206"/>
      <c r="O206"/>
      <c r="P206"/>
    </row>
    <row r="207" spans="11:16">
      <c r="K207" s="1"/>
      <c r="L207"/>
      <c r="M207"/>
      <c r="N207"/>
      <c r="O207"/>
      <c r="P207"/>
    </row>
    <row r="208" spans="11:16">
      <c r="K208" s="1"/>
      <c r="L208"/>
      <c r="M208"/>
      <c r="N208"/>
      <c r="O208"/>
      <c r="P208"/>
    </row>
    <row r="209" spans="11:16">
      <c r="K209" s="1"/>
      <c r="L209"/>
      <c r="M209"/>
      <c r="N209"/>
      <c r="O209"/>
      <c r="P209"/>
    </row>
    <row r="210" spans="11:16">
      <c r="K210" s="1"/>
      <c r="L210"/>
      <c r="M210"/>
      <c r="N210"/>
      <c r="O210"/>
      <c r="P210"/>
    </row>
    <row r="211" spans="11:16">
      <c r="K211" s="1"/>
      <c r="L211"/>
      <c r="M211"/>
      <c r="N211"/>
      <c r="O211"/>
      <c r="P211"/>
    </row>
    <row r="212" spans="11:16">
      <c r="K212" s="1"/>
      <c r="L212"/>
      <c r="M212"/>
      <c r="N212"/>
      <c r="O212"/>
      <c r="P212"/>
    </row>
    <row r="213" spans="11:16">
      <c r="K213" s="1"/>
      <c r="L213"/>
      <c r="M213"/>
      <c r="N213"/>
      <c r="O213"/>
      <c r="P213"/>
    </row>
    <row r="214" spans="11:16">
      <c r="K214" s="1"/>
      <c r="L214"/>
      <c r="M214"/>
      <c r="N214"/>
      <c r="O214"/>
      <c r="P214"/>
    </row>
    <row r="215" spans="11:16">
      <c r="K215" s="1"/>
      <c r="L215"/>
      <c r="M215"/>
      <c r="N215"/>
      <c r="O215"/>
      <c r="P215"/>
    </row>
    <row r="216" spans="11:16">
      <c r="K216" s="1"/>
      <c r="L216"/>
      <c r="M216"/>
      <c r="N216"/>
      <c r="O216"/>
      <c r="P216"/>
    </row>
    <row r="217" spans="11:16">
      <c r="K217" s="1"/>
      <c r="L217"/>
      <c r="M217"/>
      <c r="N217"/>
      <c r="O217"/>
      <c r="P217"/>
    </row>
    <row r="218" spans="11:16">
      <c r="K218" s="1"/>
      <c r="L218"/>
      <c r="M218"/>
      <c r="N218"/>
      <c r="O218"/>
      <c r="P218"/>
    </row>
    <row r="219" spans="11:16">
      <c r="K219" s="1"/>
      <c r="L219"/>
      <c r="M219"/>
      <c r="N219"/>
      <c r="O219"/>
      <c r="P219"/>
    </row>
    <row r="220" spans="11:16">
      <c r="K220" s="1"/>
      <c r="L220"/>
      <c r="M220"/>
      <c r="N220"/>
      <c r="O220"/>
      <c r="P220"/>
    </row>
    <row r="221" spans="11:16">
      <c r="K221" s="1"/>
      <c r="L221"/>
      <c r="M221"/>
      <c r="N221"/>
      <c r="O221"/>
      <c r="P221"/>
    </row>
    <row r="222" spans="11:16">
      <c r="K222" s="1"/>
      <c r="L222"/>
      <c r="M222"/>
      <c r="N222"/>
      <c r="O222"/>
      <c r="P222"/>
    </row>
    <row r="223" spans="11:16">
      <c r="K223" s="1"/>
      <c r="L223"/>
      <c r="M223"/>
      <c r="N223"/>
      <c r="O223"/>
      <c r="P223"/>
    </row>
    <row r="224" spans="11:16">
      <c r="K224" s="1"/>
      <c r="L224"/>
      <c r="M224"/>
      <c r="N224"/>
      <c r="O224"/>
      <c r="P224"/>
    </row>
    <row r="225" spans="11:16">
      <c r="K225" s="1"/>
      <c r="L225"/>
      <c r="M225"/>
      <c r="N225"/>
      <c r="O225"/>
      <c r="P225"/>
    </row>
    <row r="226" spans="11:16">
      <c r="K226" s="1"/>
      <c r="L226"/>
      <c r="M226"/>
      <c r="N226"/>
      <c r="O226"/>
      <c r="P226"/>
    </row>
    <row r="227" spans="11:16">
      <c r="K227" s="1"/>
      <c r="L227"/>
      <c r="M227"/>
      <c r="N227"/>
      <c r="O227"/>
      <c r="P227"/>
    </row>
    <row r="228" spans="11:16">
      <c r="K228" s="1"/>
      <c r="L228"/>
      <c r="M228"/>
      <c r="N228"/>
      <c r="O228"/>
      <c r="P228"/>
    </row>
    <row r="229" spans="11:16">
      <c r="K229" s="1"/>
      <c r="L229"/>
      <c r="M229"/>
      <c r="N229"/>
      <c r="O229"/>
      <c r="P229"/>
    </row>
    <row r="230" spans="11:16">
      <c r="K230" s="1"/>
      <c r="L230"/>
      <c r="M230"/>
      <c r="N230"/>
      <c r="O230"/>
      <c r="P230"/>
    </row>
    <row r="231" spans="11:16">
      <c r="K231" s="1"/>
      <c r="L231"/>
      <c r="M231"/>
      <c r="N231"/>
      <c r="O231"/>
      <c r="P231"/>
    </row>
    <row r="232" spans="11:16">
      <c r="K232" s="1"/>
      <c r="L232"/>
      <c r="M232"/>
      <c r="N232"/>
      <c r="O232"/>
      <c r="P232"/>
    </row>
    <row r="233" spans="11:16">
      <c r="K233" s="1"/>
      <c r="L233"/>
      <c r="M233"/>
      <c r="N233"/>
      <c r="O233"/>
      <c r="P233"/>
    </row>
    <row r="234" spans="11:16">
      <c r="K234" s="1"/>
      <c r="L234"/>
      <c r="M234"/>
      <c r="N234"/>
      <c r="O234"/>
      <c r="P234"/>
    </row>
    <row r="235" spans="11:16">
      <c r="K235" s="1"/>
      <c r="L235"/>
      <c r="M235"/>
      <c r="N235"/>
      <c r="O235"/>
      <c r="P235"/>
    </row>
    <row r="236" spans="11:16">
      <c r="K236" s="1"/>
      <c r="L236"/>
      <c r="M236"/>
      <c r="N236"/>
      <c r="O236"/>
      <c r="P236"/>
    </row>
    <row r="237" spans="11:16">
      <c r="K237" s="1"/>
      <c r="L237"/>
      <c r="M237"/>
      <c r="N237"/>
      <c r="O237"/>
      <c r="P237"/>
    </row>
    <row r="238" spans="11:16">
      <c r="K238" s="1"/>
      <c r="L238"/>
      <c r="M238"/>
      <c r="N238"/>
      <c r="O238"/>
      <c r="P238"/>
    </row>
    <row r="239" spans="11:16">
      <c r="K239" s="1"/>
      <c r="L239"/>
      <c r="M239"/>
      <c r="N239"/>
      <c r="O239"/>
      <c r="P239"/>
    </row>
    <row r="240" spans="11:16">
      <c r="K240" s="1"/>
      <c r="L240"/>
      <c r="M240"/>
      <c r="N240"/>
      <c r="O240"/>
      <c r="P240"/>
    </row>
    <row r="241" spans="11:16">
      <c r="K241" s="1"/>
      <c r="L241"/>
      <c r="M241"/>
      <c r="N241"/>
      <c r="O241"/>
      <c r="P241"/>
    </row>
    <row r="242" spans="11:16">
      <c r="K242" s="1"/>
      <c r="L242"/>
      <c r="M242"/>
      <c r="N242"/>
      <c r="O242"/>
      <c r="P242"/>
    </row>
    <row r="243" spans="11:16">
      <c r="K243" s="1"/>
      <c r="L243"/>
      <c r="M243"/>
      <c r="N243"/>
      <c r="O243"/>
      <c r="P243"/>
    </row>
    <row r="244" spans="11:16">
      <c r="K244" s="1"/>
      <c r="L244"/>
      <c r="M244"/>
      <c r="N244"/>
      <c r="O244"/>
      <c r="P244"/>
    </row>
    <row r="245" spans="11:16">
      <c r="K245" s="1"/>
      <c r="L245"/>
      <c r="M245"/>
      <c r="N245"/>
      <c r="O245"/>
      <c r="P245"/>
    </row>
    <row r="246" spans="11:16">
      <c r="K246" s="1"/>
      <c r="L246"/>
      <c r="M246"/>
      <c r="N246"/>
      <c r="O246"/>
      <c r="P246"/>
    </row>
    <row r="247" spans="11:16">
      <c r="K247" s="1"/>
      <c r="L247"/>
      <c r="M247"/>
      <c r="N247"/>
      <c r="O247"/>
      <c r="P247"/>
    </row>
    <row r="248" spans="11:16">
      <c r="K248" s="1"/>
      <c r="L248"/>
      <c r="M248"/>
      <c r="N248"/>
      <c r="O248"/>
      <c r="P248"/>
    </row>
    <row r="249" spans="11:16">
      <c r="K249" s="1"/>
      <c r="L249"/>
      <c r="M249"/>
      <c r="N249"/>
      <c r="O249"/>
      <c r="P249"/>
    </row>
    <row r="250" spans="11:16">
      <c r="K250" s="1"/>
      <c r="L250"/>
      <c r="M250"/>
      <c r="N250"/>
      <c r="O250"/>
      <c r="P250"/>
    </row>
    <row r="251" spans="11:16">
      <c r="K251" s="1"/>
      <c r="L251"/>
      <c r="M251"/>
      <c r="N251"/>
      <c r="O251"/>
      <c r="P251"/>
    </row>
    <row r="252" spans="11:16">
      <c r="K252" s="1"/>
      <c r="L252"/>
      <c r="M252"/>
      <c r="N252"/>
      <c r="O252"/>
      <c r="P252"/>
    </row>
    <row r="253" spans="11:16">
      <c r="K253" s="1"/>
      <c r="L253"/>
      <c r="M253"/>
      <c r="N253"/>
      <c r="O253"/>
      <c r="P253"/>
    </row>
    <row r="254" spans="11:16">
      <c r="K254" s="1"/>
      <c r="L254"/>
      <c r="M254"/>
      <c r="N254"/>
      <c r="O254"/>
      <c r="P254"/>
    </row>
    <row r="255" spans="11:16">
      <c r="K255" s="1"/>
      <c r="L255"/>
      <c r="M255"/>
      <c r="N255"/>
      <c r="O255"/>
      <c r="P255"/>
    </row>
    <row r="256" spans="11:16">
      <c r="K256" s="1"/>
      <c r="L256"/>
      <c r="M256"/>
      <c r="N256"/>
      <c r="O256"/>
      <c r="P256"/>
    </row>
    <row r="257" spans="11:16">
      <c r="K257" s="1"/>
      <c r="L257"/>
      <c r="M257"/>
      <c r="N257"/>
      <c r="O257"/>
      <c r="P257"/>
    </row>
    <row r="258" spans="11:16">
      <c r="K258" s="1"/>
      <c r="L258"/>
      <c r="M258"/>
      <c r="N258"/>
      <c r="O258"/>
      <c r="P258"/>
    </row>
    <row r="259" spans="11:16">
      <c r="K259" s="1"/>
      <c r="L259"/>
      <c r="M259"/>
      <c r="N259"/>
      <c r="O259"/>
      <c r="P259"/>
    </row>
    <row r="260" spans="11:16">
      <c r="K260" s="1"/>
      <c r="L260"/>
      <c r="M260"/>
      <c r="N260"/>
      <c r="O260"/>
      <c r="P260"/>
    </row>
    <row r="261" spans="11:16">
      <c r="K261" s="1"/>
      <c r="L261"/>
      <c r="M261"/>
      <c r="N261"/>
      <c r="O261"/>
      <c r="P261"/>
    </row>
    <row r="262" spans="11:16">
      <c r="K262" s="1"/>
      <c r="L262"/>
      <c r="M262"/>
      <c r="N262"/>
      <c r="O262"/>
      <c r="P262"/>
    </row>
    <row r="263" spans="11:16">
      <c r="K263" s="1"/>
      <c r="L263"/>
      <c r="M263"/>
      <c r="N263"/>
      <c r="O263"/>
      <c r="P263"/>
    </row>
    <row r="264" spans="11:16">
      <c r="K264" s="1"/>
      <c r="L264"/>
      <c r="M264"/>
      <c r="N264"/>
      <c r="O264"/>
      <c r="P264"/>
    </row>
    <row r="265" spans="11:16">
      <c r="K265" s="1"/>
      <c r="L265"/>
      <c r="M265"/>
      <c r="N265"/>
      <c r="O265"/>
      <c r="P265"/>
    </row>
    <row r="266" spans="11:16">
      <c r="K266" s="1"/>
      <c r="L266"/>
      <c r="M266"/>
      <c r="N266"/>
      <c r="O266"/>
      <c r="P266"/>
    </row>
    <row r="267" spans="11:16">
      <c r="K267" s="1"/>
      <c r="L267"/>
      <c r="M267"/>
      <c r="N267"/>
      <c r="O267"/>
      <c r="P267"/>
    </row>
    <row r="268" spans="11:16">
      <c r="K268" s="1"/>
      <c r="L268"/>
      <c r="M268"/>
      <c r="N268"/>
      <c r="O268"/>
      <c r="P268"/>
    </row>
    <row r="269" spans="11:16">
      <c r="K269" s="1"/>
      <c r="L269"/>
      <c r="M269"/>
      <c r="N269"/>
      <c r="O269"/>
      <c r="P269"/>
    </row>
    <row r="270" spans="11:16">
      <c r="K270" s="1"/>
      <c r="L270"/>
      <c r="M270"/>
      <c r="N270"/>
      <c r="O270"/>
      <c r="P270"/>
    </row>
    <row r="271" spans="11:16">
      <c r="K271" s="1"/>
      <c r="L271"/>
      <c r="M271"/>
      <c r="N271"/>
      <c r="O271"/>
      <c r="P271"/>
    </row>
    <row r="272" spans="11:16">
      <c r="K272" s="1"/>
      <c r="L272"/>
      <c r="M272"/>
      <c r="N272"/>
      <c r="O272"/>
      <c r="P272"/>
    </row>
    <row r="273" spans="11:16">
      <c r="K273" s="1"/>
      <c r="L273"/>
      <c r="M273"/>
      <c r="N273"/>
      <c r="O273"/>
      <c r="P273"/>
    </row>
    <row r="274" spans="11:16">
      <c r="K274" s="1"/>
      <c r="L274"/>
      <c r="M274"/>
      <c r="N274"/>
      <c r="O274"/>
      <c r="P274"/>
    </row>
    <row r="275" spans="11:16">
      <c r="K275" s="1"/>
      <c r="L275"/>
      <c r="M275"/>
      <c r="N275"/>
      <c r="O275"/>
      <c r="P275"/>
    </row>
    <row r="276" spans="11:16">
      <c r="K276" s="1"/>
      <c r="L276"/>
      <c r="M276"/>
      <c r="N276"/>
      <c r="O276"/>
      <c r="P276"/>
    </row>
    <row r="277" spans="11:16">
      <c r="K277" s="1"/>
      <c r="L277"/>
      <c r="M277"/>
      <c r="N277"/>
      <c r="O277"/>
      <c r="P277"/>
    </row>
    <row r="278" spans="11:16">
      <c r="K278" s="1"/>
      <c r="L278"/>
      <c r="M278"/>
      <c r="N278"/>
      <c r="O278"/>
      <c r="P278"/>
    </row>
    <row r="279" spans="11:16">
      <c r="K279" s="1"/>
      <c r="L279"/>
      <c r="M279"/>
      <c r="N279"/>
      <c r="O279"/>
      <c r="P279"/>
    </row>
    <row r="280" spans="11:16">
      <c r="K280" s="1"/>
      <c r="L280"/>
      <c r="M280"/>
      <c r="N280"/>
      <c r="O280"/>
      <c r="P280"/>
    </row>
    <row r="281" spans="11:16">
      <c r="K281" s="1"/>
      <c r="L281"/>
      <c r="M281"/>
      <c r="N281"/>
      <c r="O281"/>
      <c r="P281"/>
    </row>
    <row r="282" spans="11:16">
      <c r="K282" s="1"/>
      <c r="L282"/>
      <c r="M282"/>
      <c r="N282"/>
      <c r="O282"/>
      <c r="P282"/>
    </row>
    <row r="283" spans="11:16">
      <c r="K283" s="1"/>
      <c r="L283"/>
      <c r="M283"/>
      <c r="N283"/>
      <c r="O283"/>
      <c r="P283"/>
    </row>
    <row r="284" spans="11:16">
      <c r="K284" s="1"/>
      <c r="L284"/>
      <c r="M284"/>
      <c r="N284"/>
      <c r="O284"/>
      <c r="P284"/>
    </row>
    <row r="285" spans="11:16">
      <c r="K285" s="1"/>
      <c r="L285"/>
      <c r="M285"/>
      <c r="N285"/>
      <c r="O285"/>
      <c r="P285"/>
    </row>
    <row r="286" spans="11:16">
      <c r="K286" s="1"/>
      <c r="L286"/>
      <c r="M286"/>
      <c r="N286"/>
      <c r="O286"/>
      <c r="P286"/>
    </row>
    <row r="287" spans="11:16">
      <c r="K287" s="1"/>
      <c r="L287"/>
      <c r="M287"/>
      <c r="N287"/>
      <c r="O287"/>
      <c r="P287"/>
    </row>
    <row r="288" spans="11:16">
      <c r="K288" s="1"/>
      <c r="L288"/>
      <c r="M288"/>
      <c r="N288"/>
      <c r="O288"/>
      <c r="P288"/>
    </row>
    <row r="289" spans="11:16">
      <c r="K289" s="1"/>
      <c r="L289"/>
      <c r="M289"/>
      <c r="N289"/>
      <c r="O289"/>
      <c r="P289"/>
    </row>
    <row r="290" spans="11:16">
      <c r="K290" s="1"/>
      <c r="L290"/>
      <c r="M290"/>
      <c r="N290"/>
      <c r="O290"/>
      <c r="P290"/>
    </row>
    <row r="291" spans="11:16">
      <c r="K291" s="1"/>
      <c r="L291"/>
      <c r="M291"/>
      <c r="N291"/>
      <c r="O291"/>
      <c r="P291"/>
    </row>
    <row r="292" spans="11:16">
      <c r="K292" s="1"/>
      <c r="L292"/>
      <c r="M292"/>
      <c r="N292"/>
      <c r="O292"/>
      <c r="P292"/>
    </row>
    <row r="293" spans="11:16">
      <c r="K293" s="1"/>
      <c r="L293"/>
      <c r="M293"/>
      <c r="N293"/>
      <c r="O293"/>
      <c r="P293"/>
    </row>
    <row r="294" spans="11:16">
      <c r="K294" s="1"/>
      <c r="L294"/>
      <c r="M294"/>
      <c r="N294"/>
      <c r="O294"/>
      <c r="P294"/>
    </row>
    <row r="295" spans="11:16">
      <c r="K295" s="1"/>
      <c r="L295"/>
      <c r="M295"/>
      <c r="N295"/>
      <c r="O295"/>
      <c r="P295"/>
    </row>
    <row r="296" spans="11:16">
      <c r="K296" s="1"/>
      <c r="L296"/>
      <c r="M296"/>
      <c r="N296"/>
      <c r="O296"/>
      <c r="P296"/>
    </row>
    <row r="297" spans="11:16">
      <c r="K297" s="1"/>
      <c r="L297"/>
      <c r="M297"/>
      <c r="N297"/>
      <c r="O297"/>
      <c r="P297"/>
    </row>
    <row r="298" spans="11:16">
      <c r="K298" s="1"/>
      <c r="L298"/>
      <c r="M298"/>
      <c r="N298"/>
      <c r="O298"/>
      <c r="P298"/>
    </row>
    <row r="299" spans="11:16">
      <c r="K299" s="1"/>
      <c r="L299"/>
      <c r="M299"/>
      <c r="N299"/>
      <c r="O299"/>
      <c r="P299"/>
    </row>
    <row r="300" spans="11:16">
      <c r="K300" s="1"/>
      <c r="L300"/>
      <c r="M300"/>
      <c r="N300"/>
      <c r="O300"/>
      <c r="P300"/>
    </row>
    <row r="301" spans="11:16">
      <c r="K301" s="1"/>
      <c r="L301"/>
      <c r="M301"/>
      <c r="N301"/>
      <c r="O301"/>
      <c r="P301"/>
    </row>
    <row r="302" spans="11:16">
      <c r="K302" s="1"/>
      <c r="L302"/>
      <c r="M302"/>
      <c r="N302"/>
      <c r="O302"/>
      <c r="P302"/>
    </row>
    <row r="303" spans="11:16">
      <c r="K303" s="1"/>
      <c r="L303"/>
      <c r="M303"/>
      <c r="N303"/>
      <c r="O303"/>
      <c r="P303"/>
    </row>
    <row r="304" spans="11:16">
      <c r="K304" s="1"/>
      <c r="L304"/>
      <c r="M304"/>
      <c r="N304"/>
      <c r="O304"/>
      <c r="P304"/>
    </row>
    <row r="305" spans="11:16">
      <c r="K305" s="1"/>
      <c r="L305"/>
      <c r="M305"/>
      <c r="N305"/>
      <c r="O305"/>
      <c r="P305"/>
    </row>
    <row r="306" spans="11:16">
      <c r="K306" s="1"/>
      <c r="L306"/>
      <c r="M306"/>
      <c r="N306"/>
      <c r="O306"/>
      <c r="P306"/>
    </row>
    <row r="307" spans="11:16">
      <c r="K307" s="1"/>
      <c r="L307"/>
      <c r="M307"/>
      <c r="N307"/>
      <c r="O307"/>
      <c r="P307"/>
    </row>
    <row r="308" spans="11:16">
      <c r="K308" s="1"/>
      <c r="L308"/>
      <c r="M308"/>
      <c r="N308"/>
      <c r="O308"/>
      <c r="P308"/>
    </row>
    <row r="309" spans="11:16">
      <c r="K309" s="1"/>
      <c r="L309"/>
      <c r="M309"/>
      <c r="N309"/>
      <c r="O309"/>
      <c r="P309"/>
    </row>
    <row r="310" spans="11:16">
      <c r="K310" s="1"/>
      <c r="L310"/>
      <c r="M310"/>
      <c r="N310"/>
      <c r="O310"/>
      <c r="P310"/>
    </row>
    <row r="311" spans="11:16">
      <c r="K311" s="1"/>
      <c r="L311"/>
      <c r="M311"/>
      <c r="N311"/>
      <c r="O311"/>
      <c r="P311"/>
    </row>
    <row r="312" spans="11:16">
      <c r="K312" s="1"/>
      <c r="L312"/>
      <c r="M312"/>
      <c r="N312"/>
      <c r="O312"/>
      <c r="P312"/>
    </row>
    <row r="313" spans="11:16">
      <c r="K313" s="1"/>
      <c r="L313"/>
      <c r="M313"/>
      <c r="N313"/>
      <c r="O313"/>
      <c r="P313"/>
    </row>
    <row r="314" spans="11:16">
      <c r="K314" s="1"/>
      <c r="L314"/>
      <c r="M314"/>
      <c r="N314"/>
      <c r="O314"/>
      <c r="P314"/>
    </row>
    <row r="315" spans="11:16">
      <c r="K315" s="1"/>
      <c r="L315"/>
      <c r="M315"/>
      <c r="N315"/>
      <c r="O315"/>
      <c r="P315"/>
    </row>
    <row r="316" spans="11:16">
      <c r="K316" s="1"/>
      <c r="L316"/>
      <c r="M316"/>
      <c r="N316"/>
      <c r="O316"/>
      <c r="P316"/>
    </row>
    <row r="317" spans="11:16">
      <c r="K317" s="1"/>
      <c r="L317"/>
      <c r="M317"/>
      <c r="N317"/>
      <c r="O317"/>
      <c r="P317"/>
    </row>
    <row r="318" spans="11:16">
      <c r="K318" s="1"/>
      <c r="L318"/>
      <c r="M318"/>
      <c r="N318"/>
      <c r="O318"/>
      <c r="P318"/>
    </row>
    <row r="319" spans="11:16">
      <c r="K319" s="1"/>
      <c r="L319"/>
      <c r="M319"/>
      <c r="N319"/>
      <c r="O319"/>
      <c r="P319"/>
    </row>
    <row r="320" spans="11:16">
      <c r="K320" s="1"/>
      <c r="L320"/>
      <c r="M320"/>
      <c r="N320"/>
      <c r="O320"/>
      <c r="P320"/>
    </row>
    <row r="321" spans="11:16">
      <c r="K321" s="1"/>
      <c r="L321"/>
      <c r="M321"/>
      <c r="N321"/>
      <c r="O321"/>
      <c r="P321"/>
    </row>
    <row r="322" spans="11:16">
      <c r="K322" s="1"/>
      <c r="L322"/>
      <c r="M322"/>
      <c r="N322"/>
      <c r="O322"/>
      <c r="P322"/>
    </row>
    <row r="323" spans="11:16">
      <c r="K323" s="1"/>
      <c r="L323"/>
      <c r="M323"/>
      <c r="N323"/>
      <c r="O323"/>
      <c r="P323"/>
    </row>
    <row r="324" spans="11:16">
      <c r="K324" s="1"/>
      <c r="L324"/>
      <c r="M324"/>
      <c r="N324"/>
      <c r="O324"/>
      <c r="P324"/>
    </row>
    <row r="325" spans="11:16">
      <c r="K325" s="1"/>
      <c r="L325"/>
      <c r="M325"/>
      <c r="N325"/>
      <c r="O325"/>
      <c r="P325"/>
    </row>
    <row r="326" spans="11:16">
      <c r="K326" s="1"/>
      <c r="L326"/>
      <c r="M326"/>
      <c r="N326"/>
      <c r="O326"/>
      <c r="P326"/>
    </row>
    <row r="327" spans="11:16">
      <c r="K327" s="1"/>
      <c r="L327"/>
      <c r="M327"/>
      <c r="N327"/>
      <c r="O327"/>
      <c r="P327"/>
    </row>
    <row r="328" spans="11:16">
      <c r="K328" s="1"/>
      <c r="L328"/>
      <c r="M328"/>
      <c r="N328"/>
      <c r="O328"/>
      <c r="P328"/>
    </row>
    <row r="329" spans="11:16">
      <c r="K329" s="1"/>
      <c r="L329"/>
      <c r="M329"/>
      <c r="N329"/>
      <c r="O329"/>
      <c r="P329"/>
    </row>
    <row r="330" spans="11:16">
      <c r="K330" s="1"/>
      <c r="L330"/>
      <c r="M330"/>
      <c r="N330"/>
      <c r="O330"/>
      <c r="P330"/>
    </row>
    <row r="331" spans="11:16">
      <c r="K331" s="1"/>
      <c r="L331"/>
      <c r="M331"/>
      <c r="N331"/>
      <c r="O331"/>
      <c r="P331"/>
    </row>
    <row r="332" spans="11:16">
      <c r="K332" s="1"/>
      <c r="L332"/>
      <c r="M332"/>
      <c r="N332"/>
      <c r="O332"/>
      <c r="P332"/>
    </row>
    <row r="333" spans="11:16">
      <c r="K333" s="1"/>
      <c r="L333"/>
      <c r="M333"/>
      <c r="N333"/>
      <c r="O333"/>
      <c r="P333"/>
    </row>
    <row r="334" spans="11:16">
      <c r="K334" s="1"/>
      <c r="L334"/>
      <c r="M334"/>
      <c r="N334"/>
      <c r="O334"/>
      <c r="P334"/>
    </row>
    <row r="335" spans="11:16">
      <c r="K335" s="1"/>
      <c r="L335"/>
      <c r="M335"/>
      <c r="N335"/>
      <c r="O335"/>
      <c r="P335"/>
    </row>
    <row r="336" spans="11:16">
      <c r="K336" s="1"/>
      <c r="L336"/>
      <c r="M336"/>
      <c r="N336"/>
      <c r="O336"/>
      <c r="P336"/>
    </row>
    <row r="337" spans="11:16">
      <c r="K337" s="1"/>
      <c r="L337"/>
      <c r="M337"/>
      <c r="N337"/>
      <c r="O337"/>
      <c r="P337"/>
    </row>
    <row r="338" spans="11:16">
      <c r="K338" s="1"/>
      <c r="L338"/>
      <c r="M338"/>
      <c r="N338"/>
      <c r="O338"/>
      <c r="P338"/>
    </row>
    <row r="339" spans="11:16">
      <c r="K339" s="1"/>
      <c r="L339"/>
      <c r="M339"/>
      <c r="N339"/>
      <c r="O339"/>
      <c r="P339"/>
    </row>
    <row r="340" spans="11:16">
      <c r="K340" s="1"/>
      <c r="L340"/>
      <c r="M340"/>
      <c r="N340"/>
      <c r="O340"/>
      <c r="P340"/>
    </row>
    <row r="341" spans="11:16">
      <c r="K341" s="1"/>
      <c r="L341"/>
      <c r="M341"/>
      <c r="N341"/>
      <c r="O341"/>
      <c r="P341"/>
    </row>
    <row r="342" spans="11:16">
      <c r="K342" s="1"/>
      <c r="L342"/>
      <c r="M342"/>
      <c r="N342"/>
      <c r="O342"/>
      <c r="P342"/>
    </row>
    <row r="343" spans="11:16">
      <c r="K343" s="1"/>
      <c r="L343"/>
      <c r="M343"/>
      <c r="N343"/>
      <c r="O343"/>
      <c r="P343"/>
    </row>
    <row r="344" spans="11:16">
      <c r="K344" s="1"/>
      <c r="L344"/>
      <c r="M344"/>
      <c r="N344"/>
      <c r="O344"/>
      <c r="P344"/>
    </row>
    <row r="345" spans="11:16">
      <c r="K345" s="1"/>
      <c r="L345"/>
      <c r="M345"/>
      <c r="N345"/>
      <c r="O345"/>
      <c r="P345"/>
    </row>
    <row r="346" spans="11:16">
      <c r="K346" s="1"/>
      <c r="L346"/>
      <c r="M346"/>
      <c r="N346"/>
      <c r="O346"/>
      <c r="P346"/>
    </row>
    <row r="347" spans="11:16">
      <c r="K347" s="1"/>
      <c r="L347"/>
      <c r="M347"/>
      <c r="N347"/>
      <c r="O347"/>
      <c r="P347"/>
    </row>
    <row r="348" spans="11:16">
      <c r="K348" s="1"/>
      <c r="L348"/>
      <c r="M348"/>
      <c r="N348"/>
      <c r="O348"/>
      <c r="P348"/>
    </row>
    <row r="349" spans="11:16">
      <c r="K349" s="1"/>
      <c r="L349"/>
      <c r="M349"/>
      <c r="N349"/>
      <c r="O349"/>
      <c r="P349"/>
    </row>
    <row r="350" spans="11:16">
      <c r="K350" s="1"/>
      <c r="L350"/>
      <c r="M350"/>
      <c r="N350"/>
      <c r="O350"/>
      <c r="P350"/>
    </row>
    <row r="351" spans="11:16">
      <c r="K351" s="1"/>
      <c r="L351"/>
      <c r="M351"/>
      <c r="N351"/>
      <c r="O351"/>
      <c r="P351"/>
    </row>
    <row r="352" spans="11:16">
      <c r="K352" s="1"/>
      <c r="L352"/>
      <c r="M352"/>
      <c r="N352"/>
      <c r="O352"/>
      <c r="P352"/>
    </row>
    <row r="353" spans="11:16">
      <c r="K353" s="1"/>
      <c r="L353"/>
      <c r="M353"/>
      <c r="N353"/>
      <c r="O353"/>
      <c r="P353"/>
    </row>
    <row r="354" spans="11:16">
      <c r="K354" s="1"/>
      <c r="L354"/>
      <c r="M354"/>
      <c r="N354"/>
      <c r="O354"/>
      <c r="P354"/>
    </row>
    <row r="355" spans="11:16">
      <c r="K355" s="1"/>
      <c r="L355"/>
      <c r="M355"/>
      <c r="N355"/>
      <c r="O355"/>
      <c r="P355"/>
    </row>
    <row r="356" spans="11:16">
      <c r="K356" s="1"/>
      <c r="L356"/>
      <c r="M356"/>
      <c r="N356"/>
      <c r="O356"/>
      <c r="P356"/>
    </row>
    <row r="357" spans="11:16">
      <c r="K357" s="1"/>
      <c r="L357"/>
      <c r="M357"/>
      <c r="N357"/>
      <c r="O357"/>
      <c r="P357"/>
    </row>
    <row r="358" spans="11:16">
      <c r="K358" s="1"/>
      <c r="L358"/>
      <c r="M358"/>
      <c r="N358"/>
      <c r="O358"/>
      <c r="P358"/>
    </row>
    <row r="359" spans="11:16">
      <c r="K359" s="1"/>
      <c r="L359"/>
      <c r="M359"/>
      <c r="N359"/>
      <c r="O359"/>
      <c r="P359"/>
    </row>
    <row r="360" spans="11:16">
      <c r="K360" s="1"/>
      <c r="L360"/>
      <c r="M360"/>
      <c r="N360"/>
      <c r="O360"/>
      <c r="P360"/>
    </row>
    <row r="361" spans="11:16">
      <c r="K361" s="1"/>
      <c r="L361"/>
      <c r="M361"/>
      <c r="N361"/>
      <c r="O361"/>
      <c r="P361"/>
    </row>
    <row r="362" spans="11:16">
      <c r="K362" s="1"/>
      <c r="L362"/>
      <c r="M362"/>
      <c r="N362"/>
      <c r="O362"/>
      <c r="P362"/>
    </row>
    <row r="363" spans="11:16">
      <c r="K363" s="1"/>
      <c r="L363"/>
      <c r="M363"/>
      <c r="N363"/>
      <c r="O363"/>
      <c r="P363"/>
    </row>
    <row r="364" spans="11:16">
      <c r="K364" s="1"/>
      <c r="L364"/>
      <c r="M364"/>
      <c r="N364"/>
      <c r="O364"/>
      <c r="P364"/>
    </row>
    <row r="365" spans="11:16">
      <c r="K365" s="1"/>
      <c r="L365"/>
      <c r="M365"/>
      <c r="N365"/>
      <c r="O365"/>
      <c r="P365"/>
    </row>
    <row r="366" spans="11:16">
      <c r="K366" s="1"/>
      <c r="L366"/>
      <c r="M366"/>
      <c r="N366"/>
      <c r="O366"/>
      <c r="P366"/>
    </row>
    <row r="367" spans="11:16">
      <c r="K367" s="1"/>
      <c r="L367"/>
      <c r="M367"/>
      <c r="N367"/>
      <c r="O367"/>
      <c r="P367"/>
    </row>
    <row r="368" spans="11:16">
      <c r="K368" s="1"/>
      <c r="L368"/>
      <c r="M368"/>
      <c r="N368"/>
      <c r="O368"/>
      <c r="P368"/>
    </row>
    <row r="369" spans="11:16">
      <c r="K369" s="1"/>
      <c r="L369"/>
      <c r="M369"/>
      <c r="N369"/>
      <c r="O369"/>
      <c r="P369"/>
    </row>
    <row r="370" spans="11:16">
      <c r="K370" s="1"/>
      <c r="L370"/>
      <c r="M370"/>
      <c r="N370"/>
      <c r="O370"/>
      <c r="P370"/>
    </row>
    <row r="371" spans="11:16">
      <c r="K371" s="1"/>
      <c r="L371"/>
      <c r="M371"/>
      <c r="N371"/>
      <c r="O371"/>
      <c r="P371"/>
    </row>
    <row r="372" spans="11:16">
      <c r="K372" s="1"/>
      <c r="L372"/>
      <c r="M372"/>
      <c r="N372"/>
      <c r="O372"/>
      <c r="P372"/>
    </row>
    <row r="373" spans="11:16">
      <c r="K373" s="1"/>
      <c r="L373"/>
      <c r="M373"/>
      <c r="N373"/>
      <c r="O373"/>
      <c r="P373"/>
    </row>
    <row r="374" spans="11:16">
      <c r="K374" s="1"/>
      <c r="L374"/>
      <c r="M374"/>
      <c r="N374"/>
      <c r="O374"/>
      <c r="P374"/>
    </row>
    <row r="375" spans="11:16">
      <c r="K375" s="1"/>
      <c r="L375"/>
      <c r="M375"/>
      <c r="N375"/>
      <c r="O375"/>
      <c r="P375"/>
    </row>
    <row r="376" spans="11:16">
      <c r="K376" s="1"/>
      <c r="L376"/>
      <c r="M376"/>
      <c r="N376"/>
      <c r="O376"/>
      <c r="P376"/>
    </row>
    <row r="377" spans="11:16">
      <c r="K377" s="1"/>
      <c r="L377"/>
      <c r="M377"/>
      <c r="N377"/>
      <c r="O377"/>
      <c r="P377"/>
    </row>
    <row r="378" spans="11:16">
      <c r="K378" s="1"/>
      <c r="L378"/>
      <c r="M378"/>
      <c r="N378"/>
      <c r="O378"/>
      <c r="P378"/>
    </row>
    <row r="379" spans="11:16">
      <c r="K379" s="1"/>
      <c r="L379"/>
      <c r="M379"/>
      <c r="N379"/>
      <c r="O379"/>
      <c r="P379"/>
    </row>
    <row r="380" spans="11:16">
      <c r="K380" s="1"/>
      <c r="L380"/>
      <c r="M380"/>
      <c r="N380"/>
      <c r="O380"/>
      <c r="P380"/>
    </row>
    <row r="381" spans="11:16">
      <c r="K381" s="1"/>
      <c r="L381"/>
      <c r="M381"/>
      <c r="N381"/>
      <c r="O381"/>
      <c r="P381"/>
    </row>
    <row r="382" spans="11:16">
      <c r="K382" s="1"/>
      <c r="L382"/>
      <c r="M382"/>
      <c r="N382"/>
      <c r="O382"/>
      <c r="P382"/>
    </row>
    <row r="383" spans="11:16">
      <c r="K383" s="1"/>
      <c r="L383"/>
      <c r="M383"/>
      <c r="N383"/>
      <c r="O383"/>
      <c r="P383"/>
    </row>
    <row r="384" spans="11:16">
      <c r="K384" s="1"/>
      <c r="L384"/>
      <c r="M384"/>
      <c r="N384"/>
      <c r="O384"/>
      <c r="P384"/>
    </row>
    <row r="385" spans="11:16">
      <c r="K385" s="1"/>
      <c r="L385"/>
      <c r="M385"/>
      <c r="N385"/>
      <c r="O385"/>
      <c r="P385"/>
    </row>
    <row r="386" spans="11:16">
      <c r="K386" s="1"/>
      <c r="L386"/>
      <c r="M386"/>
      <c r="N386"/>
      <c r="O386"/>
      <c r="P386"/>
    </row>
    <row r="387" spans="11:16">
      <c r="K387" s="1"/>
      <c r="L387"/>
      <c r="M387"/>
      <c r="N387"/>
      <c r="O387"/>
      <c r="P387"/>
    </row>
    <row r="388" spans="11:16">
      <c r="K388" s="1"/>
      <c r="L388"/>
      <c r="M388"/>
      <c r="N388"/>
      <c r="O388"/>
      <c r="P388"/>
    </row>
    <row r="389" spans="11:16">
      <c r="K389" s="1"/>
      <c r="L389"/>
      <c r="M389"/>
      <c r="N389"/>
      <c r="O389"/>
      <c r="P389"/>
    </row>
    <row r="390" spans="11:16">
      <c r="K390" s="1"/>
      <c r="L390"/>
      <c r="M390"/>
      <c r="N390"/>
      <c r="O390"/>
      <c r="P390"/>
    </row>
    <row r="391" spans="11:16">
      <c r="K391" s="1"/>
      <c r="L391"/>
      <c r="M391"/>
      <c r="N391"/>
      <c r="O391"/>
      <c r="P391"/>
    </row>
    <row r="392" spans="11:16">
      <c r="K392" s="1"/>
      <c r="L392"/>
      <c r="M392"/>
      <c r="N392"/>
      <c r="O392"/>
      <c r="P392"/>
    </row>
    <row r="393" spans="11:16">
      <c r="K393" s="1"/>
      <c r="L393"/>
      <c r="M393"/>
      <c r="N393"/>
      <c r="O393"/>
      <c r="P393"/>
    </row>
    <row r="394" spans="11:16">
      <c r="K394" s="1"/>
      <c r="L394"/>
      <c r="M394"/>
      <c r="N394"/>
      <c r="O394"/>
      <c r="P394"/>
    </row>
    <row r="395" spans="11:16">
      <c r="K395" s="1"/>
      <c r="L395"/>
      <c r="M395"/>
      <c r="N395"/>
      <c r="O395"/>
      <c r="P395"/>
    </row>
    <row r="396" spans="11:16">
      <c r="K396" s="1"/>
      <c r="L396"/>
      <c r="M396"/>
      <c r="N396"/>
      <c r="O396"/>
      <c r="P396"/>
    </row>
    <row r="397" spans="11:16">
      <c r="K397" s="1"/>
      <c r="L397"/>
      <c r="M397"/>
      <c r="N397"/>
      <c r="O397"/>
      <c r="P397"/>
    </row>
    <row r="398" spans="11:16">
      <c r="K398" s="1"/>
      <c r="L398"/>
      <c r="M398"/>
      <c r="N398"/>
      <c r="O398"/>
      <c r="P398"/>
    </row>
    <row r="399" spans="11:16">
      <c r="K399" s="1"/>
      <c r="L399"/>
      <c r="M399"/>
      <c r="N399"/>
      <c r="O399"/>
      <c r="P399"/>
    </row>
    <row r="400" spans="11:16">
      <c r="K400" s="1"/>
      <c r="L400"/>
      <c r="M400"/>
      <c r="N400"/>
      <c r="O400"/>
      <c r="P400"/>
    </row>
    <row r="401" spans="11:16">
      <c r="K401" s="1"/>
      <c r="L401"/>
      <c r="M401"/>
      <c r="N401"/>
      <c r="O401"/>
      <c r="P401"/>
    </row>
    <row r="402" spans="11:16">
      <c r="K402" s="1"/>
      <c r="L402"/>
      <c r="M402"/>
      <c r="N402"/>
      <c r="O402"/>
      <c r="P402"/>
    </row>
    <row r="403" spans="11:16">
      <c r="K403" s="1"/>
      <c r="L403"/>
      <c r="M403"/>
      <c r="N403"/>
      <c r="O403"/>
      <c r="P403"/>
    </row>
    <row r="404" spans="11:16">
      <c r="K404" s="1"/>
      <c r="L404"/>
      <c r="M404"/>
      <c r="N404"/>
      <c r="O404"/>
      <c r="P404"/>
    </row>
    <row r="405" spans="11:16">
      <c r="K405" s="1"/>
      <c r="L405"/>
      <c r="M405"/>
      <c r="N405"/>
      <c r="O405"/>
      <c r="P405"/>
    </row>
    <row r="406" spans="11:16">
      <c r="K406" s="1"/>
      <c r="L406"/>
      <c r="M406"/>
      <c r="N406"/>
      <c r="O406"/>
      <c r="P406"/>
    </row>
    <row r="407" spans="11:16">
      <c r="K407" s="1"/>
      <c r="L407"/>
      <c r="M407"/>
      <c r="N407"/>
      <c r="O407"/>
      <c r="P407"/>
    </row>
    <row r="408" spans="11:16">
      <c r="K408" s="1"/>
      <c r="L408"/>
      <c r="M408"/>
      <c r="N408"/>
      <c r="O408"/>
      <c r="P408"/>
    </row>
    <row r="409" spans="11:16">
      <c r="K409" s="1"/>
      <c r="L409"/>
      <c r="M409"/>
      <c r="N409"/>
      <c r="O409"/>
      <c r="P409"/>
    </row>
    <row r="410" spans="11:16">
      <c r="K410" s="1"/>
      <c r="L410"/>
      <c r="M410"/>
      <c r="N410"/>
      <c r="O410"/>
      <c r="P410"/>
    </row>
    <row r="411" spans="11:16">
      <c r="K411" s="1"/>
      <c r="L411"/>
      <c r="M411"/>
      <c r="N411"/>
      <c r="O411"/>
      <c r="P411"/>
    </row>
    <row r="412" spans="11:16">
      <c r="K412" s="1"/>
      <c r="L412"/>
      <c r="M412"/>
      <c r="N412"/>
      <c r="O412"/>
      <c r="P412"/>
    </row>
    <row r="413" spans="11:16">
      <c r="K413" s="1"/>
      <c r="L413"/>
      <c r="M413"/>
      <c r="N413"/>
      <c r="O413"/>
      <c r="P413"/>
    </row>
    <row r="414" spans="11:16">
      <c r="K414" s="1"/>
      <c r="L414"/>
      <c r="M414"/>
      <c r="N414"/>
      <c r="O414"/>
      <c r="P414"/>
    </row>
    <row r="415" spans="11:16">
      <c r="K415" s="1"/>
      <c r="L415"/>
      <c r="M415"/>
      <c r="N415"/>
      <c r="O415"/>
      <c r="P415"/>
    </row>
    <row r="416" spans="11:16">
      <c r="K416" s="1"/>
      <c r="L416"/>
      <c r="M416"/>
      <c r="N416"/>
      <c r="O416"/>
      <c r="P416"/>
    </row>
    <row r="417" spans="11:16">
      <c r="K417" s="1"/>
      <c r="L417"/>
      <c r="M417"/>
      <c r="N417"/>
      <c r="O417"/>
      <c r="P417"/>
    </row>
    <row r="418" spans="11:16">
      <c r="K418" s="1"/>
      <c r="L418"/>
      <c r="M418"/>
      <c r="N418"/>
      <c r="O418"/>
      <c r="P418"/>
    </row>
    <row r="419" spans="11:16">
      <c r="K419" s="1"/>
      <c r="L419"/>
      <c r="M419"/>
      <c r="N419"/>
      <c r="O419"/>
      <c r="P419"/>
    </row>
    <row r="420" spans="11:16">
      <c r="K420" s="1"/>
      <c r="L420"/>
      <c r="M420"/>
      <c r="N420"/>
      <c r="O420"/>
      <c r="P420"/>
    </row>
    <row r="421" spans="11:16">
      <c r="K421" s="1"/>
      <c r="L421"/>
      <c r="M421"/>
      <c r="N421"/>
      <c r="O421"/>
      <c r="P421"/>
    </row>
    <row r="422" spans="11:16">
      <c r="K422" s="1"/>
      <c r="L422"/>
      <c r="M422"/>
      <c r="N422"/>
      <c r="O422"/>
      <c r="P422"/>
    </row>
    <row r="423" spans="11:16">
      <c r="K423" s="1"/>
      <c r="L423"/>
      <c r="M423"/>
      <c r="N423"/>
      <c r="O423"/>
      <c r="P423"/>
    </row>
    <row r="424" spans="11:16">
      <c r="K424" s="1"/>
      <c r="L424"/>
      <c r="M424"/>
      <c r="N424"/>
      <c r="O424"/>
      <c r="P424"/>
    </row>
    <row r="425" spans="11:16">
      <c r="K425" s="1"/>
      <c r="L425"/>
      <c r="M425"/>
      <c r="N425"/>
      <c r="O425"/>
      <c r="P425"/>
    </row>
    <row r="426" spans="11:16">
      <c r="K426" s="1"/>
      <c r="L426"/>
      <c r="M426"/>
      <c r="N426"/>
      <c r="O426"/>
      <c r="P426"/>
    </row>
    <row r="427" spans="11:16">
      <c r="K427" s="1"/>
      <c r="L427"/>
      <c r="M427"/>
      <c r="N427"/>
      <c r="O427"/>
      <c r="P427"/>
    </row>
    <row r="428" spans="11:16">
      <c r="K428" s="1"/>
      <c r="L428"/>
      <c r="M428"/>
      <c r="N428"/>
      <c r="O428"/>
      <c r="P428"/>
    </row>
    <row r="429" spans="11:16">
      <c r="K429" s="1"/>
      <c r="L429"/>
      <c r="M429"/>
      <c r="N429"/>
      <c r="O429"/>
      <c r="P429"/>
    </row>
    <row r="430" spans="11:16">
      <c r="K430" s="1"/>
      <c r="L430"/>
      <c r="M430"/>
      <c r="N430"/>
      <c r="O430"/>
      <c r="P430"/>
    </row>
    <row r="431" spans="11:16">
      <c r="K431" s="1"/>
      <c r="L431"/>
      <c r="M431"/>
      <c r="N431"/>
      <c r="O431"/>
      <c r="P431"/>
    </row>
    <row r="432" spans="11:16">
      <c r="K432" s="1"/>
      <c r="L432"/>
      <c r="M432"/>
      <c r="N432"/>
      <c r="O432"/>
      <c r="P432"/>
    </row>
    <row r="433" spans="11:16">
      <c r="K433" s="1"/>
      <c r="L433"/>
      <c r="M433"/>
      <c r="N433"/>
      <c r="O433"/>
      <c r="P433"/>
    </row>
    <row r="434" spans="11:16">
      <c r="K434" s="1"/>
      <c r="L434"/>
      <c r="M434"/>
      <c r="N434"/>
      <c r="O434"/>
      <c r="P434"/>
    </row>
    <row r="435" spans="11:16">
      <c r="K435" s="1"/>
      <c r="L435"/>
      <c r="M435"/>
      <c r="N435"/>
      <c r="O435"/>
      <c r="P435"/>
    </row>
    <row r="436" spans="11:16">
      <c r="K436" s="1"/>
      <c r="L436"/>
      <c r="M436"/>
      <c r="N436"/>
      <c r="O436"/>
      <c r="P436"/>
    </row>
    <row r="437" spans="11:16">
      <c r="K437" s="1"/>
      <c r="L437"/>
      <c r="M437"/>
      <c r="N437"/>
      <c r="O437"/>
      <c r="P437"/>
    </row>
    <row r="438" spans="11:16">
      <c r="K438" s="1"/>
      <c r="L438"/>
      <c r="M438"/>
      <c r="N438"/>
      <c r="O438"/>
      <c r="P438"/>
    </row>
    <row r="439" spans="11:16">
      <c r="K439" s="1"/>
      <c r="L439"/>
      <c r="M439"/>
      <c r="N439"/>
      <c r="O439"/>
      <c r="P439"/>
    </row>
    <row r="440" spans="11:16">
      <c r="K440" s="1"/>
      <c r="L440"/>
      <c r="M440"/>
      <c r="N440"/>
      <c r="O440"/>
      <c r="P440"/>
    </row>
    <row r="441" spans="11:16">
      <c r="K441" s="1"/>
      <c r="L441"/>
      <c r="M441"/>
      <c r="N441"/>
      <c r="O441"/>
      <c r="P441"/>
    </row>
  </sheetData>
  <autoFilter ref="A3:P99" xr:uid="{00000000-0001-0000-0000-000000000000}">
    <filterColumn colId="0">
      <filters>
        <filter val="246"/>
      </filters>
    </filterColumn>
  </autoFilter>
  <phoneticPr fontId="7" type="noConversion"/>
  <pageMargins left="0.7" right="0.7" top="0.78740157499999996" bottom="0.78740157499999996" header="0.3" footer="0.3"/>
  <pageSetup paperSize="9" scale="75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3"/>
  <sheetViews>
    <sheetView workbookViewId="0">
      <selection activeCell="F22" sqref="F22"/>
    </sheetView>
  </sheetViews>
  <sheetFormatPr defaultColWidth="11.42578125" defaultRowHeight="15"/>
  <cols>
    <col min="1" max="1" width="5.140625" style="1" bestFit="1" customWidth="1"/>
    <col min="2" max="2" width="18.7109375" bestFit="1" customWidth="1"/>
    <col min="6" max="6" width="10.5703125" bestFit="1" customWidth="1"/>
  </cols>
  <sheetData>
    <row r="1" spans="1:8">
      <c r="A1" s="3" t="s">
        <v>1</v>
      </c>
      <c r="B1" s="5" t="s">
        <v>64</v>
      </c>
    </row>
    <row r="2" spans="1:8">
      <c r="A2" s="13" t="s">
        <v>65</v>
      </c>
      <c r="B2" s="6" t="s">
        <v>66</v>
      </c>
      <c r="F2" s="3" t="s">
        <v>14</v>
      </c>
      <c r="G2" s="5" t="s">
        <v>15</v>
      </c>
      <c r="H2" s="3" t="s">
        <v>1</v>
      </c>
    </row>
    <row r="3" spans="1:8">
      <c r="A3" s="14">
        <v>526</v>
      </c>
      <c r="B3" s="6" t="s">
        <v>67</v>
      </c>
      <c r="F3" s="62" t="s">
        <v>68</v>
      </c>
      <c r="G3" s="62" t="s">
        <v>69</v>
      </c>
      <c r="H3" s="62" t="s">
        <v>56</v>
      </c>
    </row>
    <row r="4" spans="1:8">
      <c r="A4" s="14">
        <v>134</v>
      </c>
      <c r="B4" s="6" t="s">
        <v>70</v>
      </c>
      <c r="F4" s="62" t="s">
        <v>71</v>
      </c>
      <c r="G4" s="62" t="s">
        <v>72</v>
      </c>
      <c r="H4" s="62" t="s">
        <v>63</v>
      </c>
    </row>
    <row r="5" spans="1:8">
      <c r="A5" s="14">
        <v>137</v>
      </c>
      <c r="B5" s="6" t="s">
        <v>73</v>
      </c>
      <c r="F5" s="62" t="s">
        <v>74</v>
      </c>
      <c r="G5" s="62" t="s">
        <v>75</v>
      </c>
      <c r="H5" s="62" t="s">
        <v>56</v>
      </c>
    </row>
    <row r="6" spans="1:8">
      <c r="A6" s="14">
        <v>155</v>
      </c>
      <c r="B6" s="6" t="s">
        <v>76</v>
      </c>
      <c r="F6" s="62" t="s">
        <v>77</v>
      </c>
      <c r="G6" s="62" t="s">
        <v>69</v>
      </c>
      <c r="H6" s="62" t="s">
        <v>63</v>
      </c>
    </row>
    <row r="7" spans="1:8">
      <c r="A7" s="14">
        <v>157</v>
      </c>
      <c r="B7" s="6" t="s">
        <v>78</v>
      </c>
      <c r="F7" s="62" t="s">
        <v>79</v>
      </c>
      <c r="G7" s="62" t="s">
        <v>80</v>
      </c>
      <c r="H7" s="62" t="s">
        <v>63</v>
      </c>
    </row>
    <row r="8" spans="1:8">
      <c r="A8" s="14">
        <v>135</v>
      </c>
      <c r="B8" s="6" t="s">
        <v>81</v>
      </c>
      <c r="F8" s="62" t="s">
        <v>82</v>
      </c>
      <c r="G8" s="62" t="s">
        <v>75</v>
      </c>
      <c r="H8" s="62" t="s">
        <v>63</v>
      </c>
    </row>
    <row r="9" spans="1:8">
      <c r="A9" s="14">
        <v>124</v>
      </c>
      <c r="B9" s="6" t="s">
        <v>83</v>
      </c>
      <c r="F9" s="62" t="s">
        <v>84</v>
      </c>
      <c r="G9" s="62" t="s">
        <v>75</v>
      </c>
      <c r="H9" s="62" t="s">
        <v>63</v>
      </c>
    </row>
    <row r="10" spans="1:8">
      <c r="A10" s="14">
        <v>156</v>
      </c>
      <c r="B10" s="6" t="s">
        <v>85</v>
      </c>
      <c r="F10" s="62" t="s">
        <v>86</v>
      </c>
      <c r="G10" s="62" t="s">
        <v>72</v>
      </c>
      <c r="H10" s="62" t="s">
        <v>63</v>
      </c>
    </row>
    <row r="11" spans="1:8">
      <c r="A11" s="14">
        <v>136</v>
      </c>
      <c r="B11" s="6" t="s">
        <v>87</v>
      </c>
      <c r="F11" s="62" t="s">
        <v>88</v>
      </c>
      <c r="G11" s="62" t="s">
        <v>80</v>
      </c>
      <c r="H11" s="62" t="s">
        <v>63</v>
      </c>
    </row>
    <row r="12" spans="1:8">
      <c r="A12" s="14">
        <v>256</v>
      </c>
      <c r="B12" s="6" t="s">
        <v>89</v>
      </c>
      <c r="F12" s="62" t="s">
        <v>90</v>
      </c>
      <c r="G12" s="62" t="s">
        <v>91</v>
      </c>
      <c r="H12" s="62" t="s">
        <v>56</v>
      </c>
    </row>
    <row r="13" spans="1:8">
      <c r="A13" s="14">
        <v>234</v>
      </c>
      <c r="B13" s="6" t="s">
        <v>92</v>
      </c>
      <c r="F13" s="62" t="s">
        <v>93</v>
      </c>
      <c r="G13" s="62" t="s">
        <v>94</v>
      </c>
      <c r="H13" s="62" t="s">
        <v>56</v>
      </c>
    </row>
    <row r="14" spans="1:8">
      <c r="A14" s="14">
        <v>235</v>
      </c>
      <c r="B14" s="6" t="s">
        <v>95</v>
      </c>
      <c r="F14" s="62" t="s">
        <v>96</v>
      </c>
      <c r="G14" s="62" t="s">
        <v>69</v>
      </c>
      <c r="H14" s="62" t="s">
        <v>63</v>
      </c>
    </row>
    <row r="15" spans="1:8">
      <c r="A15" s="14">
        <v>236</v>
      </c>
      <c r="B15" s="6" t="s">
        <v>97</v>
      </c>
      <c r="F15" s="62" t="s">
        <v>98</v>
      </c>
      <c r="G15" s="62" t="s">
        <v>99</v>
      </c>
      <c r="H15" s="62" t="s">
        <v>63</v>
      </c>
    </row>
    <row r="16" spans="1:8">
      <c r="A16" s="14">
        <v>246</v>
      </c>
      <c r="B16" s="6" t="s">
        <v>85</v>
      </c>
      <c r="F16" s="62" t="s">
        <v>100</v>
      </c>
      <c r="G16" s="62" t="s">
        <v>101</v>
      </c>
      <c r="H16" s="62" t="s">
        <v>63</v>
      </c>
    </row>
    <row r="17" spans="1:8">
      <c r="A17" s="14">
        <v>225</v>
      </c>
      <c r="B17" s="6" t="s">
        <v>76</v>
      </c>
      <c r="F17" s="62" t="s">
        <v>102</v>
      </c>
      <c r="G17" s="62" t="s">
        <v>99</v>
      </c>
      <c r="H17" s="62" t="s">
        <v>63</v>
      </c>
    </row>
    <row r="18" spans="1:8">
      <c r="A18" s="14">
        <v>238</v>
      </c>
      <c r="B18" s="6" t="s">
        <v>103</v>
      </c>
      <c r="F18" s="62" t="s">
        <v>104</v>
      </c>
      <c r="G18" s="62" t="s">
        <v>101</v>
      </c>
      <c r="H18" s="62" t="s">
        <v>63</v>
      </c>
    </row>
    <row r="19" spans="1:8">
      <c r="A19" s="14">
        <v>227</v>
      </c>
      <c r="B19" s="6" t="s">
        <v>78</v>
      </c>
    </row>
    <row r="20" spans="1:8">
      <c r="A20" s="14">
        <v>224</v>
      </c>
      <c r="B20" s="6" t="s">
        <v>70</v>
      </c>
    </row>
    <row r="21" spans="1:8">
      <c r="A21" s="4">
        <v>539</v>
      </c>
      <c r="B21" s="6" t="s">
        <v>105</v>
      </c>
    </row>
    <row r="22" spans="1:8">
      <c r="A22" s="4">
        <v>356</v>
      </c>
      <c r="B22" s="6" t="s">
        <v>106</v>
      </c>
    </row>
    <row r="23" spans="1:8">
      <c r="A23" s="4">
        <v>416</v>
      </c>
      <c r="B23" s="6" t="s">
        <v>107</v>
      </c>
    </row>
  </sheetData>
  <phoneticPr fontId="7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B23"/>
  <sheetViews>
    <sheetView zoomScale="90" zoomScaleNormal="90" workbookViewId="0">
      <selection activeCell="L22" sqref="L22"/>
    </sheetView>
  </sheetViews>
  <sheetFormatPr defaultColWidth="11.42578125" defaultRowHeight="15"/>
  <cols>
    <col min="1" max="1" width="8.42578125" bestFit="1" customWidth="1"/>
    <col min="2" max="2" width="36" bestFit="1" customWidth="1"/>
  </cols>
  <sheetData>
    <row r="1" spans="1:2">
      <c r="A1" s="3" t="s">
        <v>108</v>
      </c>
      <c r="B1" s="5" t="s">
        <v>109</v>
      </c>
    </row>
    <row r="2" spans="1:2">
      <c r="A2" s="4" t="s">
        <v>110</v>
      </c>
      <c r="B2" s="6" t="s">
        <v>111</v>
      </c>
    </row>
    <row r="3" spans="1:2">
      <c r="A3" s="14" t="s">
        <v>112</v>
      </c>
      <c r="B3" s="6" t="s">
        <v>113</v>
      </c>
    </row>
    <row r="4" spans="1:2">
      <c r="A4" s="4" t="s">
        <v>114</v>
      </c>
      <c r="B4" s="6" t="s">
        <v>115</v>
      </c>
    </row>
    <row r="5" spans="1:2">
      <c r="A5" s="4" t="s">
        <v>52</v>
      </c>
      <c r="B5" s="6" t="s">
        <v>116</v>
      </c>
    </row>
    <row r="6" spans="1:2">
      <c r="A6" s="4" t="s">
        <v>117</v>
      </c>
      <c r="B6" s="6" t="s">
        <v>118</v>
      </c>
    </row>
    <row r="7" spans="1:2">
      <c r="A7" s="4" t="s">
        <v>119</v>
      </c>
      <c r="B7" s="6" t="s">
        <v>120</v>
      </c>
    </row>
    <row r="8" spans="1:2">
      <c r="A8" s="4" t="s">
        <v>62</v>
      </c>
      <c r="B8" s="6" t="s">
        <v>121</v>
      </c>
    </row>
    <row r="9" spans="1:2">
      <c r="A9" s="4" t="s">
        <v>29</v>
      </c>
      <c r="B9" s="6" t="s">
        <v>122</v>
      </c>
    </row>
    <row r="10" spans="1:2">
      <c r="A10" s="4" t="s">
        <v>37</v>
      </c>
      <c r="B10" s="6" t="s">
        <v>123</v>
      </c>
    </row>
    <row r="11" spans="1:2">
      <c r="A11" s="4" t="s">
        <v>59</v>
      </c>
      <c r="B11" s="6" t="s">
        <v>124</v>
      </c>
    </row>
    <row r="12" spans="1:2">
      <c r="A12" s="4" t="s">
        <v>61</v>
      </c>
      <c r="B12" s="6" t="s">
        <v>125</v>
      </c>
    </row>
    <row r="13" spans="1:2">
      <c r="A13" s="4" t="s">
        <v>20</v>
      </c>
      <c r="B13" s="6" t="s">
        <v>125</v>
      </c>
    </row>
    <row r="14" spans="1:2">
      <c r="A14" s="4" t="s">
        <v>16</v>
      </c>
      <c r="B14" s="6" t="s">
        <v>126</v>
      </c>
    </row>
    <row r="15" spans="1:2">
      <c r="A15" s="4" t="s">
        <v>38</v>
      </c>
      <c r="B15" s="6" t="s">
        <v>122</v>
      </c>
    </row>
    <row r="16" spans="1:2">
      <c r="A16" s="4" t="s">
        <v>21</v>
      </c>
      <c r="B16" s="6" t="s">
        <v>123</v>
      </c>
    </row>
    <row r="17" spans="1:2">
      <c r="A17" s="4" t="s">
        <v>27</v>
      </c>
      <c r="B17" s="6" t="s">
        <v>111</v>
      </c>
    </row>
    <row r="18" spans="1:2">
      <c r="A18" s="4" t="s">
        <v>54</v>
      </c>
      <c r="B18" s="6" t="s">
        <v>127</v>
      </c>
    </row>
    <row r="19" spans="1:2">
      <c r="A19" s="4" t="s">
        <v>18</v>
      </c>
      <c r="B19" s="6" t="s">
        <v>127</v>
      </c>
    </row>
    <row r="20" spans="1:2">
      <c r="A20" s="4" t="s">
        <v>27</v>
      </c>
      <c r="B20" s="6" t="s">
        <v>128</v>
      </c>
    </row>
    <row r="21" spans="1:2">
      <c r="A21" s="4" t="s">
        <v>129</v>
      </c>
      <c r="B21" s="6" t="s">
        <v>127</v>
      </c>
    </row>
    <row r="22" spans="1:2">
      <c r="A22" s="4" t="s">
        <v>130</v>
      </c>
      <c r="B22" s="6" t="s">
        <v>124</v>
      </c>
    </row>
    <row r="23" spans="1:2">
      <c r="A23" s="4" t="s">
        <v>131</v>
      </c>
      <c r="B23" s="6" t="s">
        <v>126</v>
      </c>
    </row>
  </sheetData>
  <autoFilter ref="A1:B16" xr:uid="{00000000-0009-0000-0000-000002000000}"/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C25"/>
  <sheetViews>
    <sheetView workbookViewId="0">
      <selection activeCell="A4" sqref="A4:A6"/>
    </sheetView>
  </sheetViews>
  <sheetFormatPr defaultColWidth="11.42578125" defaultRowHeight="15"/>
  <cols>
    <col min="1" max="1" width="14.42578125" customWidth="1"/>
    <col min="2" max="2" width="13" style="1" customWidth="1"/>
    <col min="3" max="3" width="40.5703125" bestFit="1" customWidth="1"/>
  </cols>
  <sheetData>
    <row r="1" spans="1:3">
      <c r="A1" s="5" t="s">
        <v>132</v>
      </c>
      <c r="B1" s="3" t="s">
        <v>5</v>
      </c>
      <c r="C1" s="5" t="s">
        <v>13</v>
      </c>
    </row>
    <row r="2" spans="1:3">
      <c r="A2" s="6" t="s">
        <v>133</v>
      </c>
      <c r="B2" s="4" t="s">
        <v>28</v>
      </c>
      <c r="C2" s="6" t="s">
        <v>134</v>
      </c>
    </row>
    <row r="3" spans="1:3">
      <c r="A3" s="6" t="s">
        <v>135</v>
      </c>
      <c r="B3" s="4" t="s">
        <v>23</v>
      </c>
      <c r="C3" s="6" t="s">
        <v>134</v>
      </c>
    </row>
    <row r="4" spans="1:3">
      <c r="A4" s="6"/>
      <c r="B4" s="4" t="s">
        <v>53</v>
      </c>
      <c r="C4" s="6" t="s">
        <v>136</v>
      </c>
    </row>
    <row r="5" spans="1:3">
      <c r="A5" s="6"/>
      <c r="B5" s="4" t="s">
        <v>17</v>
      </c>
      <c r="C5" s="15" t="s">
        <v>137</v>
      </c>
    </row>
    <row r="6" spans="1:3">
      <c r="A6" s="6"/>
      <c r="B6" s="4" t="s">
        <v>19</v>
      </c>
      <c r="C6" s="15" t="s">
        <v>137</v>
      </c>
    </row>
    <row r="7" spans="1:3">
      <c r="A7" s="6"/>
      <c r="B7" s="4"/>
      <c r="C7" s="15"/>
    </row>
    <row r="8" spans="1:3">
      <c r="A8" s="6"/>
      <c r="B8" s="4"/>
      <c r="C8" s="6"/>
    </row>
    <row r="9" spans="1:3">
      <c r="A9" s="6"/>
      <c r="B9" s="4"/>
      <c r="C9" s="6"/>
    </row>
    <row r="10" spans="1:3">
      <c r="A10" s="6"/>
      <c r="B10" s="4"/>
      <c r="C10" s="6"/>
    </row>
    <row r="11" spans="1:3">
      <c r="A11" s="6"/>
      <c r="B11" s="4"/>
      <c r="C11" s="6"/>
    </row>
    <row r="12" spans="1:3">
      <c r="A12" s="6"/>
      <c r="B12" s="4"/>
      <c r="C12" s="6"/>
    </row>
    <row r="13" spans="1:3">
      <c r="A13" s="6"/>
      <c r="B13" s="4"/>
      <c r="C13" s="6"/>
    </row>
    <row r="14" spans="1:3">
      <c r="A14" s="6"/>
      <c r="B14" s="4"/>
      <c r="C14" s="6"/>
    </row>
    <row r="25" spans="3:3">
      <c r="C25" t="s">
        <v>138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D118"/>
  <sheetViews>
    <sheetView zoomScale="80" zoomScaleNormal="80" workbookViewId="0">
      <pane ySplit="1" topLeftCell="B2" activePane="bottomLeft" state="frozen"/>
      <selection pane="bottomLeft" activeCell="B1" sqref="B1:B1048576"/>
    </sheetView>
  </sheetViews>
  <sheetFormatPr defaultColWidth="11.42578125" defaultRowHeight="15"/>
  <cols>
    <col min="1" max="1" width="8.42578125" style="1" customWidth="1"/>
    <col min="2" max="2" width="22.7109375" style="1" bestFit="1" customWidth="1"/>
    <col min="3" max="3" width="51.5703125" style="1" customWidth="1"/>
    <col min="4" max="4" width="18.7109375" style="1" bestFit="1" customWidth="1"/>
  </cols>
  <sheetData>
    <row r="1" spans="1:4">
      <c r="A1" s="3" t="s">
        <v>108</v>
      </c>
      <c r="B1" s="3" t="s">
        <v>14</v>
      </c>
      <c r="C1" s="3" t="s">
        <v>15</v>
      </c>
      <c r="D1" s="3" t="s">
        <v>1</v>
      </c>
    </row>
    <row r="2" spans="1:4">
      <c r="A2" s="4">
        <v>12</v>
      </c>
      <c r="B2" s="4" t="str">
        <f t="shared" ref="B2:B11" si="0">D2&amp;"_"&amp;A2</f>
        <v>V60_12</v>
      </c>
      <c r="C2" s="4" t="s">
        <v>69</v>
      </c>
      <c r="D2" s="4" t="s">
        <v>76</v>
      </c>
    </row>
    <row r="3" spans="1:4">
      <c r="A3" s="4">
        <v>11</v>
      </c>
      <c r="B3" s="4" t="str">
        <f t="shared" si="0"/>
        <v>S90_11</v>
      </c>
      <c r="C3" s="4" t="s">
        <v>139</v>
      </c>
      <c r="D3" s="4" t="s">
        <v>92</v>
      </c>
    </row>
    <row r="4" spans="1:4">
      <c r="A4" s="4">
        <v>12</v>
      </c>
      <c r="B4" s="4" t="str">
        <f t="shared" si="0"/>
        <v>XC60_12</v>
      </c>
      <c r="C4" s="4" t="s">
        <v>69</v>
      </c>
      <c r="D4" s="4" t="s">
        <v>85</v>
      </c>
    </row>
    <row r="5" spans="1:4">
      <c r="A5" s="4">
        <v>12</v>
      </c>
      <c r="B5" s="4" t="str">
        <f t="shared" si="0"/>
        <v>S90_12</v>
      </c>
      <c r="C5" s="4" t="s">
        <v>140</v>
      </c>
      <c r="D5" s="4" t="s">
        <v>92</v>
      </c>
    </row>
    <row r="6" spans="1:4">
      <c r="A6" s="4">
        <v>12</v>
      </c>
      <c r="B6" s="4" t="str">
        <f t="shared" si="0"/>
        <v>V90_12</v>
      </c>
      <c r="C6" s="4" t="s">
        <v>69</v>
      </c>
      <c r="D6" s="4" t="s">
        <v>95</v>
      </c>
    </row>
    <row r="7" spans="1:4">
      <c r="A7" s="4">
        <v>13</v>
      </c>
      <c r="B7" s="4" t="str">
        <f t="shared" si="0"/>
        <v>V60_13</v>
      </c>
      <c r="C7" s="4" t="s">
        <v>80</v>
      </c>
      <c r="D7" s="4" t="s">
        <v>76</v>
      </c>
    </row>
    <row r="8" spans="1:4">
      <c r="A8" s="4">
        <v>13</v>
      </c>
      <c r="B8" s="4" t="str">
        <f t="shared" si="0"/>
        <v>XC60_13</v>
      </c>
      <c r="C8" s="4" t="s">
        <v>80</v>
      </c>
      <c r="D8" s="4" t="s">
        <v>85</v>
      </c>
    </row>
    <row r="9" spans="1:4">
      <c r="A9" s="4">
        <v>13</v>
      </c>
      <c r="B9" s="4" t="str">
        <f t="shared" si="0"/>
        <v>S90_13</v>
      </c>
      <c r="C9" s="4" t="s">
        <v>80</v>
      </c>
      <c r="D9" s="4" t="s">
        <v>92</v>
      </c>
    </row>
    <row r="10" spans="1:4">
      <c r="A10" s="4">
        <v>13</v>
      </c>
      <c r="B10" s="4" t="str">
        <f t="shared" si="0"/>
        <v>V90_13</v>
      </c>
      <c r="C10" s="4" t="s">
        <v>80</v>
      </c>
      <c r="D10" s="4" t="s">
        <v>95</v>
      </c>
    </row>
    <row r="11" spans="1:4">
      <c r="A11" s="4">
        <v>23</v>
      </c>
      <c r="B11" s="4" t="str">
        <f t="shared" si="0"/>
        <v>XC90_23</v>
      </c>
      <c r="C11" s="4" t="s">
        <v>141</v>
      </c>
      <c r="D11" s="4" t="s">
        <v>89</v>
      </c>
    </row>
    <row r="12" spans="1:4">
      <c r="A12" s="4" t="s">
        <v>55</v>
      </c>
      <c r="B12" s="4" t="str">
        <f t="shared" ref="B12:B18" si="1">D12&amp;"_"&amp;A12</f>
        <v>EX40_R4</v>
      </c>
      <c r="C12" s="4" t="s">
        <v>69</v>
      </c>
      <c r="D12" s="4" t="s">
        <v>56</v>
      </c>
    </row>
    <row r="13" spans="1:4">
      <c r="A13" s="4" t="s">
        <v>50</v>
      </c>
      <c r="B13" s="4" t="str">
        <f t="shared" si="1"/>
        <v>S90_R5</v>
      </c>
      <c r="C13" s="4" t="s">
        <v>72</v>
      </c>
      <c r="D13" s="4" t="s">
        <v>92</v>
      </c>
    </row>
    <row r="14" spans="1:4">
      <c r="A14" s="4" t="s">
        <v>50</v>
      </c>
      <c r="B14" s="4" t="str">
        <f t="shared" si="1"/>
        <v>V90_R5</v>
      </c>
      <c r="C14" s="4" t="s">
        <v>72</v>
      </c>
      <c r="D14" s="4" t="s">
        <v>95</v>
      </c>
    </row>
    <row r="15" spans="1:4">
      <c r="A15" s="4" t="s">
        <v>50</v>
      </c>
      <c r="B15" s="4" t="str">
        <f t="shared" si="1"/>
        <v>XC40_R5</v>
      </c>
      <c r="C15" s="4" t="s">
        <v>72</v>
      </c>
      <c r="D15" s="4" t="s">
        <v>63</v>
      </c>
    </row>
    <row r="16" spans="1:4">
      <c r="A16" s="4" t="s">
        <v>57</v>
      </c>
      <c r="B16" s="4" t="str">
        <f t="shared" si="1"/>
        <v>EX40_R6</v>
      </c>
      <c r="C16" s="16" t="s">
        <v>75</v>
      </c>
      <c r="D16" s="4" t="s">
        <v>56</v>
      </c>
    </row>
    <row r="17" spans="1:4">
      <c r="A17" s="4" t="s">
        <v>142</v>
      </c>
      <c r="B17" s="4" t="str">
        <f t="shared" si="1"/>
        <v>XC90_R7</v>
      </c>
      <c r="C17" s="4" t="s">
        <v>143</v>
      </c>
      <c r="D17" s="4" t="s">
        <v>89</v>
      </c>
    </row>
    <row r="18" spans="1:4">
      <c r="A18" s="4" t="s">
        <v>144</v>
      </c>
      <c r="B18" s="4" t="str">
        <f t="shared" si="1"/>
        <v>S90_FE</v>
      </c>
      <c r="C18" s="4" t="s">
        <v>145</v>
      </c>
      <c r="D18" s="4" t="s">
        <v>92</v>
      </c>
    </row>
    <row r="19" spans="1:4">
      <c r="A19" s="4" t="s">
        <v>50</v>
      </c>
      <c r="B19" s="4" t="str">
        <f t="shared" ref="B19:B22" si="2">D19&amp;"_"&amp;A19</f>
        <v>XC60_R5</v>
      </c>
      <c r="C19" s="4" t="s">
        <v>72</v>
      </c>
      <c r="D19" s="4" t="s">
        <v>85</v>
      </c>
    </row>
    <row r="20" spans="1:4">
      <c r="A20" s="4">
        <v>11</v>
      </c>
      <c r="B20" s="4" t="str">
        <f t="shared" si="2"/>
        <v>XC40_11</v>
      </c>
      <c r="C20" s="4" t="s">
        <v>69</v>
      </c>
      <c r="D20" s="4" t="s">
        <v>63</v>
      </c>
    </row>
    <row r="21" spans="1:4">
      <c r="A21" s="4">
        <v>13</v>
      </c>
      <c r="B21" s="4" t="str">
        <f t="shared" si="2"/>
        <v>XC40_13</v>
      </c>
      <c r="C21" s="4" t="s">
        <v>80</v>
      </c>
      <c r="D21" s="4" t="s">
        <v>63</v>
      </c>
    </row>
    <row r="22" spans="1:4">
      <c r="A22" s="4">
        <v>17</v>
      </c>
      <c r="B22" s="4" t="str">
        <f t="shared" si="2"/>
        <v>XC40_17</v>
      </c>
      <c r="C22" s="4" t="s">
        <v>75</v>
      </c>
      <c r="D22" s="4" t="s">
        <v>63</v>
      </c>
    </row>
    <row r="23" spans="1:4">
      <c r="A23" s="4">
        <v>17</v>
      </c>
      <c r="B23" s="4" t="str">
        <f t="shared" ref="B23:B29" si="3">D23&amp;"_"&amp;A23</f>
        <v>XC60_17</v>
      </c>
      <c r="C23" s="4" t="s">
        <v>75</v>
      </c>
      <c r="D23" s="4" t="s">
        <v>85</v>
      </c>
    </row>
    <row r="24" spans="1:4">
      <c r="A24" s="4">
        <v>17</v>
      </c>
      <c r="B24" s="4" t="str">
        <f t="shared" si="3"/>
        <v>S90_17</v>
      </c>
      <c r="C24" s="4" t="s">
        <v>75</v>
      </c>
      <c r="D24" s="4" t="s">
        <v>92</v>
      </c>
    </row>
    <row r="25" spans="1:4">
      <c r="A25" s="4">
        <v>17</v>
      </c>
      <c r="B25" s="4" t="str">
        <f t="shared" si="3"/>
        <v>V90_17</v>
      </c>
      <c r="C25" s="4" t="s">
        <v>75</v>
      </c>
      <c r="D25" s="4" t="s">
        <v>95</v>
      </c>
    </row>
    <row r="26" spans="1:4">
      <c r="A26" s="4">
        <v>27</v>
      </c>
      <c r="B26" s="4" t="str">
        <f t="shared" si="3"/>
        <v>XC90_27</v>
      </c>
      <c r="C26" s="4" t="s">
        <v>146</v>
      </c>
      <c r="D26" s="4" t="s">
        <v>89</v>
      </c>
    </row>
    <row r="27" spans="1:4">
      <c r="A27" s="4" t="s">
        <v>47</v>
      </c>
      <c r="B27" s="4" t="str">
        <f t="shared" si="3"/>
        <v>XC60_P5</v>
      </c>
      <c r="C27" s="4" t="s">
        <v>147</v>
      </c>
      <c r="D27" s="4" t="s">
        <v>85</v>
      </c>
    </row>
    <row r="28" spans="1:4">
      <c r="A28" s="4" t="s">
        <v>148</v>
      </c>
      <c r="B28" s="4" t="str">
        <f t="shared" si="3"/>
        <v>S90_1B</v>
      </c>
      <c r="C28" s="4" t="s">
        <v>149</v>
      </c>
      <c r="D28" s="4" t="s">
        <v>92</v>
      </c>
    </row>
    <row r="29" spans="1:4">
      <c r="A29" s="4" t="s">
        <v>148</v>
      </c>
      <c r="B29" s="4" t="str">
        <f t="shared" si="3"/>
        <v>XC90_1B</v>
      </c>
      <c r="C29" s="4" t="s">
        <v>149</v>
      </c>
      <c r="D29" s="4" t="s">
        <v>89</v>
      </c>
    </row>
    <row r="30" spans="1:4">
      <c r="A30" s="4" t="s">
        <v>150</v>
      </c>
      <c r="B30" s="4" t="str">
        <f t="shared" ref="B30:B57" si="4">D30&amp;"_"&amp;A30</f>
        <v>XC90_2B</v>
      </c>
      <c r="C30" s="4" t="s">
        <v>151</v>
      </c>
      <c r="D30" s="4" t="s">
        <v>89</v>
      </c>
    </row>
    <row r="31" spans="1:4">
      <c r="A31" s="4" t="s">
        <v>33</v>
      </c>
      <c r="B31" s="4" t="str">
        <f t="shared" si="4"/>
        <v>XC40_G7</v>
      </c>
      <c r="C31" s="4" t="s">
        <v>75</v>
      </c>
      <c r="D31" s="4" t="s">
        <v>63</v>
      </c>
    </row>
    <row r="32" spans="1:4">
      <c r="A32" s="4" t="s">
        <v>36</v>
      </c>
      <c r="B32" s="4" t="str">
        <f t="shared" si="4"/>
        <v>XC40_V5</v>
      </c>
      <c r="C32" s="4" t="s">
        <v>72</v>
      </c>
      <c r="D32" s="4" t="s">
        <v>63</v>
      </c>
    </row>
    <row r="33" spans="1:4">
      <c r="A33" s="4" t="s">
        <v>31</v>
      </c>
      <c r="B33" s="4" t="str">
        <f t="shared" si="4"/>
        <v>XC40_G3</v>
      </c>
      <c r="C33" s="4" t="s">
        <v>80</v>
      </c>
      <c r="D33" s="4" t="s">
        <v>63</v>
      </c>
    </row>
    <row r="34" spans="1:4">
      <c r="A34" s="4" t="s">
        <v>33</v>
      </c>
      <c r="B34" s="4" t="str">
        <f t="shared" si="4"/>
        <v>XC60_G7</v>
      </c>
      <c r="C34" s="4" t="s">
        <v>75</v>
      </c>
      <c r="D34" s="4" t="s">
        <v>85</v>
      </c>
    </row>
    <row r="35" spans="1:4">
      <c r="A35" s="4" t="s">
        <v>36</v>
      </c>
      <c r="B35" s="4" t="str">
        <f t="shared" si="4"/>
        <v>XC60_V5</v>
      </c>
      <c r="C35" s="4" t="s">
        <v>72</v>
      </c>
      <c r="D35" s="4" t="s">
        <v>85</v>
      </c>
    </row>
    <row r="36" spans="1:4">
      <c r="A36" s="4" t="s">
        <v>31</v>
      </c>
      <c r="B36" s="4" t="str">
        <f t="shared" si="4"/>
        <v>XC60_G3</v>
      </c>
      <c r="C36" s="4" t="s">
        <v>80</v>
      </c>
      <c r="D36" s="4" t="s">
        <v>85</v>
      </c>
    </row>
    <row r="37" spans="1:4">
      <c r="A37" s="4" t="s">
        <v>33</v>
      </c>
      <c r="B37" s="4" t="str">
        <f t="shared" si="4"/>
        <v>V60_G7</v>
      </c>
      <c r="C37" s="4" t="s">
        <v>75</v>
      </c>
      <c r="D37" s="4" t="s">
        <v>76</v>
      </c>
    </row>
    <row r="38" spans="1:4">
      <c r="A38" s="4" t="s">
        <v>36</v>
      </c>
      <c r="B38" s="4" t="str">
        <f t="shared" si="4"/>
        <v>V60_V5</v>
      </c>
      <c r="C38" s="4" t="s">
        <v>72</v>
      </c>
      <c r="D38" s="4" t="s">
        <v>76</v>
      </c>
    </row>
    <row r="39" spans="1:4">
      <c r="A39" s="4" t="s">
        <v>31</v>
      </c>
      <c r="B39" s="4" t="str">
        <f t="shared" si="4"/>
        <v>V60_G3</v>
      </c>
      <c r="C39" s="4" t="s">
        <v>80</v>
      </c>
      <c r="D39" s="4" t="s">
        <v>76</v>
      </c>
    </row>
    <row r="40" spans="1:4">
      <c r="A40" s="4" t="s">
        <v>36</v>
      </c>
      <c r="B40" s="4" t="str">
        <f t="shared" si="4"/>
        <v>S60_V5</v>
      </c>
      <c r="C40" s="4" t="s">
        <v>72</v>
      </c>
      <c r="D40" s="4" t="s">
        <v>70</v>
      </c>
    </row>
    <row r="41" spans="1:4">
      <c r="A41" s="4" t="s">
        <v>31</v>
      </c>
      <c r="B41" s="4" t="str">
        <f t="shared" si="4"/>
        <v>S60_G3</v>
      </c>
      <c r="C41" s="4" t="s">
        <v>80</v>
      </c>
      <c r="D41" s="4" t="s">
        <v>70</v>
      </c>
    </row>
    <row r="42" spans="1:4">
      <c r="A42" s="4" t="s">
        <v>21</v>
      </c>
      <c r="B42" s="4" t="str">
        <f t="shared" si="4"/>
        <v>XC90_H7</v>
      </c>
      <c r="C42" s="4" t="s">
        <v>146</v>
      </c>
      <c r="D42" s="4" t="s">
        <v>89</v>
      </c>
    </row>
    <row r="43" spans="1:4">
      <c r="A43" s="4" t="s">
        <v>26</v>
      </c>
      <c r="B43" s="4" t="str">
        <f t="shared" si="4"/>
        <v>XC90_V7</v>
      </c>
      <c r="C43" s="4" t="s">
        <v>143</v>
      </c>
      <c r="D43" s="4" t="s">
        <v>89</v>
      </c>
    </row>
    <row r="44" spans="1:4">
      <c r="A44" s="4" t="s">
        <v>22</v>
      </c>
      <c r="B44" s="4" t="str">
        <f t="shared" si="4"/>
        <v>XC90_H3</v>
      </c>
      <c r="C44" s="4" t="s">
        <v>141</v>
      </c>
      <c r="D44" s="4" t="s">
        <v>89</v>
      </c>
    </row>
    <row r="45" spans="1:4">
      <c r="A45" s="4" t="s">
        <v>33</v>
      </c>
      <c r="B45" s="4" t="str">
        <f t="shared" si="4"/>
        <v>V90_G7</v>
      </c>
      <c r="C45" s="4" t="s">
        <v>75</v>
      </c>
      <c r="D45" s="4" t="s">
        <v>95</v>
      </c>
    </row>
    <row r="46" spans="1:4">
      <c r="A46" s="4" t="s">
        <v>36</v>
      </c>
      <c r="B46" s="4" t="str">
        <f t="shared" si="4"/>
        <v>V90_V5</v>
      </c>
      <c r="C46" s="4" t="s">
        <v>72</v>
      </c>
      <c r="D46" s="4" t="s">
        <v>95</v>
      </c>
    </row>
    <row r="47" spans="1:4">
      <c r="A47" s="4" t="s">
        <v>31</v>
      </c>
      <c r="B47" s="4" t="str">
        <f t="shared" si="4"/>
        <v>V90_G3</v>
      </c>
      <c r="C47" s="4" t="s">
        <v>80</v>
      </c>
      <c r="D47" s="4" t="s">
        <v>95</v>
      </c>
    </row>
    <row r="48" spans="1:4">
      <c r="A48" s="4" t="s">
        <v>33</v>
      </c>
      <c r="B48" s="4" t="str">
        <f t="shared" si="4"/>
        <v>S90_G7</v>
      </c>
      <c r="C48" s="4" t="s">
        <v>75</v>
      </c>
      <c r="D48" s="4" t="s">
        <v>92</v>
      </c>
    </row>
    <row r="49" spans="1:4">
      <c r="A49" s="4" t="s">
        <v>36</v>
      </c>
      <c r="B49" s="4" t="str">
        <f t="shared" si="4"/>
        <v>S90_V5</v>
      </c>
      <c r="C49" s="4" t="s">
        <v>72</v>
      </c>
      <c r="D49" s="4" t="s">
        <v>92</v>
      </c>
    </row>
    <row r="50" spans="1:4">
      <c r="A50" s="4" t="s">
        <v>31</v>
      </c>
      <c r="B50" s="4" t="str">
        <f t="shared" si="4"/>
        <v>S90_G3</v>
      </c>
      <c r="C50" s="4" t="s">
        <v>80</v>
      </c>
      <c r="D50" s="4" t="s">
        <v>92</v>
      </c>
    </row>
    <row r="51" spans="1:4">
      <c r="A51" s="4" t="s">
        <v>152</v>
      </c>
      <c r="B51" s="4" t="str">
        <f t="shared" si="4"/>
        <v>XC90_B2</v>
      </c>
      <c r="C51" s="4" t="s">
        <v>153</v>
      </c>
      <c r="D51" s="4" t="s">
        <v>89</v>
      </c>
    </row>
    <row r="52" spans="1:4">
      <c r="A52" s="4" t="s">
        <v>152</v>
      </c>
      <c r="B52" s="4" t="str">
        <f t="shared" si="4"/>
        <v>XC60_B2</v>
      </c>
      <c r="C52" s="4" t="s">
        <v>153</v>
      </c>
      <c r="D52" s="4" t="s">
        <v>85</v>
      </c>
    </row>
    <row r="53" spans="1:4">
      <c r="A53" s="4" t="s">
        <v>60</v>
      </c>
      <c r="B53" s="4" t="str">
        <f t="shared" si="4"/>
        <v>EC40_RB</v>
      </c>
      <c r="C53" s="4" t="s">
        <v>91</v>
      </c>
      <c r="D53" s="4" t="s">
        <v>105</v>
      </c>
    </row>
    <row r="54" spans="1:4">
      <c r="A54" s="4" t="s">
        <v>60</v>
      </c>
      <c r="B54" s="4" t="str">
        <f t="shared" si="4"/>
        <v>EX40_RB</v>
      </c>
      <c r="C54" s="4" t="s">
        <v>91</v>
      </c>
      <c r="D54" s="4" t="s">
        <v>56</v>
      </c>
    </row>
    <row r="55" spans="1:4">
      <c r="A55" s="4" t="s">
        <v>58</v>
      </c>
      <c r="B55" s="4" t="str">
        <f t="shared" si="4"/>
        <v>EX40_R8</v>
      </c>
      <c r="C55" s="4" t="s">
        <v>94</v>
      </c>
      <c r="D55" s="4" t="s">
        <v>56</v>
      </c>
    </row>
    <row r="56" spans="1:4">
      <c r="A56" s="4" t="s">
        <v>57</v>
      </c>
      <c r="B56" s="4" t="str">
        <f t="shared" si="4"/>
        <v>EC40_R6</v>
      </c>
      <c r="C56" s="4" t="s">
        <v>75</v>
      </c>
      <c r="D56" s="4" t="s">
        <v>105</v>
      </c>
    </row>
    <row r="57" spans="1:4">
      <c r="A57" s="4" t="s">
        <v>58</v>
      </c>
      <c r="B57" s="4" t="str">
        <f t="shared" si="4"/>
        <v>EC40_R8</v>
      </c>
      <c r="C57" s="4" t="s">
        <v>94</v>
      </c>
      <c r="D57" s="4" t="s">
        <v>105</v>
      </c>
    </row>
    <row r="58" spans="1:4">
      <c r="A58" s="4" t="s">
        <v>30</v>
      </c>
      <c r="B58" s="4" t="str">
        <f t="shared" ref="B58:B75" si="5">D58&amp;"_"&amp;A58</f>
        <v>XC40_G2</v>
      </c>
      <c r="C58" s="4" t="s">
        <v>69</v>
      </c>
      <c r="D58" s="4" t="s">
        <v>63</v>
      </c>
    </row>
    <row r="59" spans="1:4">
      <c r="A59" s="4" t="s">
        <v>34</v>
      </c>
      <c r="B59" s="4" t="str">
        <f t="shared" si="5"/>
        <v>XC40_G8</v>
      </c>
      <c r="C59" s="4" t="s">
        <v>99</v>
      </c>
      <c r="D59" s="4" t="s">
        <v>63</v>
      </c>
    </row>
    <row r="60" spans="1:4">
      <c r="A60" s="4" t="s">
        <v>35</v>
      </c>
      <c r="B60" s="4" t="str">
        <f t="shared" si="5"/>
        <v>XC40_VA</v>
      </c>
      <c r="C60" s="4" t="s">
        <v>101</v>
      </c>
      <c r="D60" s="4" t="s">
        <v>63</v>
      </c>
    </row>
    <row r="61" spans="1:4">
      <c r="A61" s="4">
        <v>18</v>
      </c>
      <c r="B61" s="4" t="str">
        <f t="shared" si="5"/>
        <v>XC40_18</v>
      </c>
      <c r="C61" s="4" t="s">
        <v>99</v>
      </c>
      <c r="D61" s="4" t="s">
        <v>63</v>
      </c>
    </row>
    <row r="62" spans="1:4">
      <c r="A62" s="4" t="s">
        <v>48</v>
      </c>
      <c r="B62" s="4" t="str">
        <f t="shared" si="5"/>
        <v>XC40_RA</v>
      </c>
      <c r="C62" s="4" t="s">
        <v>101</v>
      </c>
      <c r="D62" s="4" t="s">
        <v>63</v>
      </c>
    </row>
    <row r="63" spans="1:4">
      <c r="A63" s="4" t="s">
        <v>30</v>
      </c>
      <c r="B63" s="4" t="str">
        <f t="shared" si="5"/>
        <v>XC60_G2</v>
      </c>
      <c r="C63" s="4" t="s">
        <v>69</v>
      </c>
      <c r="D63" s="4" t="s">
        <v>85</v>
      </c>
    </row>
    <row r="64" spans="1:4">
      <c r="A64" s="4" t="s">
        <v>35</v>
      </c>
      <c r="B64" s="4" t="str">
        <f t="shared" si="5"/>
        <v>XC60_VA</v>
      </c>
      <c r="C64" s="4" t="s">
        <v>101</v>
      </c>
      <c r="D64" s="4" t="s">
        <v>85</v>
      </c>
    </row>
    <row r="65" spans="1:4">
      <c r="A65" s="4" t="s">
        <v>34</v>
      </c>
      <c r="B65" s="4" t="str">
        <f t="shared" si="5"/>
        <v>XC60_G8</v>
      </c>
      <c r="C65" s="4" t="s">
        <v>99</v>
      </c>
      <c r="D65" s="4" t="s">
        <v>85</v>
      </c>
    </row>
    <row r="66" spans="1:4">
      <c r="A66" s="4" t="s">
        <v>48</v>
      </c>
      <c r="B66" s="4" t="str">
        <f t="shared" si="5"/>
        <v>XC60_RA</v>
      </c>
      <c r="C66" s="4" t="s">
        <v>101</v>
      </c>
      <c r="D66" s="4" t="s">
        <v>85</v>
      </c>
    </row>
    <row r="67" spans="1:4">
      <c r="A67" s="4">
        <v>18</v>
      </c>
      <c r="B67" s="4" t="str">
        <f t="shared" si="5"/>
        <v>XC60_18</v>
      </c>
      <c r="C67" s="4" t="s">
        <v>99</v>
      </c>
      <c r="D67" s="4" t="s">
        <v>85</v>
      </c>
    </row>
    <row r="68" spans="1:4">
      <c r="A68" s="4" t="s">
        <v>30</v>
      </c>
      <c r="B68" s="4" t="str">
        <f t="shared" si="5"/>
        <v>V60_G2</v>
      </c>
      <c r="C68" s="4" t="s">
        <v>69</v>
      </c>
      <c r="D68" s="4" t="s">
        <v>76</v>
      </c>
    </row>
    <row r="69" spans="1:4">
      <c r="A69" s="4" t="s">
        <v>35</v>
      </c>
      <c r="B69" s="4" t="str">
        <f t="shared" si="5"/>
        <v>V60_VA</v>
      </c>
      <c r="C69" s="4" t="s">
        <v>101</v>
      </c>
      <c r="D69" s="4" t="s">
        <v>76</v>
      </c>
    </row>
    <row r="70" spans="1:4">
      <c r="A70" s="4" t="s">
        <v>34</v>
      </c>
      <c r="B70" s="4" t="str">
        <f t="shared" si="5"/>
        <v>V60_G8</v>
      </c>
      <c r="C70" s="4" t="s">
        <v>99</v>
      </c>
      <c r="D70" s="4" t="s">
        <v>76</v>
      </c>
    </row>
    <row r="71" spans="1:4">
      <c r="A71" s="4" t="s">
        <v>48</v>
      </c>
      <c r="B71" s="4" t="str">
        <f t="shared" si="5"/>
        <v>V60_RA</v>
      </c>
      <c r="C71" s="4" t="s">
        <v>101</v>
      </c>
      <c r="D71" s="4" t="s">
        <v>76</v>
      </c>
    </row>
    <row r="72" spans="1:4">
      <c r="A72" s="4">
        <v>18</v>
      </c>
      <c r="B72" s="4" t="str">
        <f t="shared" si="5"/>
        <v>V60_18</v>
      </c>
      <c r="C72" s="4" t="s">
        <v>99</v>
      </c>
      <c r="D72" s="4" t="s">
        <v>76</v>
      </c>
    </row>
    <row r="73" spans="1:4">
      <c r="A73" s="4" t="s">
        <v>33</v>
      </c>
      <c r="B73" s="4" t="str">
        <f t="shared" si="5"/>
        <v>S60_G7</v>
      </c>
      <c r="C73" s="4" t="s">
        <v>75</v>
      </c>
      <c r="D73" s="4" t="s">
        <v>70</v>
      </c>
    </row>
    <row r="74" spans="1:4">
      <c r="A74" s="4" t="s">
        <v>35</v>
      </c>
      <c r="B74" s="4" t="str">
        <f t="shared" si="5"/>
        <v>S60_VA</v>
      </c>
      <c r="C74" s="4" t="s">
        <v>101</v>
      </c>
      <c r="D74" s="4" t="s">
        <v>70</v>
      </c>
    </row>
    <row r="75" spans="1:4">
      <c r="A75" s="4" t="s">
        <v>34</v>
      </c>
      <c r="B75" s="4" t="str">
        <f t="shared" si="5"/>
        <v>S60_G8</v>
      </c>
      <c r="C75" s="4" t="s">
        <v>99</v>
      </c>
      <c r="D75" s="4" t="s">
        <v>70</v>
      </c>
    </row>
    <row r="76" spans="1:4">
      <c r="A76" s="4">
        <v>17</v>
      </c>
      <c r="B76" s="4" t="str">
        <f t="shared" ref="B76:B83" si="6">D76&amp;"_"&amp;A76</f>
        <v>S60_17</v>
      </c>
      <c r="C76" s="4" t="s">
        <v>75</v>
      </c>
      <c r="D76" s="4" t="s">
        <v>70</v>
      </c>
    </row>
    <row r="77" spans="1:4">
      <c r="A77" s="4" t="s">
        <v>48</v>
      </c>
      <c r="B77" s="4" t="str">
        <f t="shared" si="6"/>
        <v>S60_RA</v>
      </c>
      <c r="C77" s="4" t="s">
        <v>101</v>
      </c>
      <c r="D77" s="4" t="s">
        <v>70</v>
      </c>
    </row>
    <row r="78" spans="1:4">
      <c r="A78" s="4">
        <v>18</v>
      </c>
      <c r="B78" s="4" t="str">
        <f t="shared" si="6"/>
        <v>S60_18</v>
      </c>
      <c r="C78" s="4" t="s">
        <v>99</v>
      </c>
      <c r="D78" s="4" t="s">
        <v>70</v>
      </c>
    </row>
    <row r="79" spans="1:4">
      <c r="A79" s="4" t="s">
        <v>30</v>
      </c>
      <c r="B79" s="4" t="str">
        <f t="shared" si="6"/>
        <v>V90_G2</v>
      </c>
      <c r="C79" s="4" t="s">
        <v>69</v>
      </c>
      <c r="D79" s="4" t="s">
        <v>95</v>
      </c>
    </row>
    <row r="80" spans="1:4">
      <c r="A80" s="4" t="s">
        <v>35</v>
      </c>
      <c r="B80" s="4" t="str">
        <f t="shared" si="6"/>
        <v>V90_VA</v>
      </c>
      <c r="C80" s="4" t="s">
        <v>101</v>
      </c>
      <c r="D80" s="4" t="s">
        <v>95</v>
      </c>
    </row>
    <row r="81" spans="1:4">
      <c r="A81" s="4" t="s">
        <v>34</v>
      </c>
      <c r="B81" s="4" t="str">
        <f t="shared" si="6"/>
        <v>V90_G8</v>
      </c>
      <c r="C81" s="4" t="s">
        <v>99</v>
      </c>
      <c r="D81" s="4" t="s">
        <v>95</v>
      </c>
    </row>
    <row r="82" spans="1:4">
      <c r="A82" s="4" t="s">
        <v>48</v>
      </c>
      <c r="B82" s="4" t="str">
        <f t="shared" si="6"/>
        <v>V90_RA</v>
      </c>
      <c r="C82" s="4" t="s">
        <v>101</v>
      </c>
      <c r="D82" s="4" t="s">
        <v>95</v>
      </c>
    </row>
    <row r="83" spans="1:4">
      <c r="A83" s="4">
        <v>18</v>
      </c>
      <c r="B83" s="4" t="str">
        <f t="shared" si="6"/>
        <v>V90_18</v>
      </c>
      <c r="C83" s="4" t="s">
        <v>99</v>
      </c>
      <c r="D83" s="4" t="s">
        <v>95</v>
      </c>
    </row>
    <row r="84" spans="1:4">
      <c r="A84" s="4" t="s">
        <v>35</v>
      </c>
      <c r="B84" s="4" t="str">
        <f t="shared" ref="B84:B115" si="7">D84&amp;"_"&amp;A84</f>
        <v>S90_VA</v>
      </c>
      <c r="C84" s="4" t="s">
        <v>101</v>
      </c>
      <c r="D84" s="4" t="s">
        <v>92</v>
      </c>
    </row>
    <row r="85" spans="1:4">
      <c r="A85" s="4" t="s">
        <v>34</v>
      </c>
      <c r="B85" s="4" t="str">
        <f t="shared" si="7"/>
        <v>S90_G8</v>
      </c>
      <c r="C85" s="4" t="s">
        <v>99</v>
      </c>
      <c r="D85" s="4" t="s">
        <v>92</v>
      </c>
    </row>
    <row r="86" spans="1:4">
      <c r="A86" s="4" t="s">
        <v>48</v>
      </c>
      <c r="B86" s="4" t="str">
        <f t="shared" si="7"/>
        <v>S90_RA</v>
      </c>
      <c r="C86" s="4" t="s">
        <v>101</v>
      </c>
      <c r="D86" s="4" t="s">
        <v>92</v>
      </c>
    </row>
    <row r="87" spans="1:4">
      <c r="A87" s="4">
        <v>18</v>
      </c>
      <c r="B87" s="4" t="str">
        <f t="shared" si="7"/>
        <v>S90_18</v>
      </c>
      <c r="C87" s="4" t="s">
        <v>99</v>
      </c>
      <c r="D87" s="4" t="s">
        <v>92</v>
      </c>
    </row>
    <row r="88" spans="1:4">
      <c r="A88" s="4" t="s">
        <v>25</v>
      </c>
      <c r="B88" s="4" t="str">
        <f t="shared" si="7"/>
        <v>XC90_VC</v>
      </c>
      <c r="C88" s="4" t="s">
        <v>154</v>
      </c>
      <c r="D88" s="4" t="s">
        <v>89</v>
      </c>
    </row>
    <row r="89" spans="1:4">
      <c r="A89" s="4" t="s">
        <v>24</v>
      </c>
      <c r="B89" s="4" t="str">
        <f t="shared" si="7"/>
        <v>XC90_H8</v>
      </c>
      <c r="C89" s="4" t="s">
        <v>155</v>
      </c>
      <c r="D89" s="4" t="s">
        <v>89</v>
      </c>
    </row>
    <row r="90" spans="1:4">
      <c r="A90" s="4" t="s">
        <v>156</v>
      </c>
      <c r="B90" s="4" t="str">
        <f t="shared" si="7"/>
        <v>XC90_RC</v>
      </c>
      <c r="C90" s="4" t="s">
        <v>154</v>
      </c>
      <c r="D90" s="4" t="s">
        <v>89</v>
      </c>
    </row>
    <row r="91" spans="1:4">
      <c r="A91" s="4">
        <v>28</v>
      </c>
      <c r="B91" s="4" t="str">
        <f t="shared" si="7"/>
        <v>XC90_28</v>
      </c>
      <c r="C91" s="4" t="s">
        <v>155</v>
      </c>
      <c r="D91" s="4" t="s">
        <v>89</v>
      </c>
    </row>
    <row r="92" spans="1:4">
      <c r="A92" s="4">
        <v>67</v>
      </c>
      <c r="B92" s="4" t="str">
        <f t="shared" si="7"/>
        <v>EX90_67</v>
      </c>
      <c r="C92" s="4" t="s">
        <v>157</v>
      </c>
      <c r="D92" s="4" t="s">
        <v>106</v>
      </c>
    </row>
    <row r="93" spans="1:4">
      <c r="A93" s="4" t="s">
        <v>158</v>
      </c>
      <c r="B93" s="4" t="str">
        <f t="shared" si="7"/>
        <v>XC60_V9</v>
      </c>
      <c r="C93" s="4" t="s">
        <v>159</v>
      </c>
      <c r="D93" s="4" t="s">
        <v>85</v>
      </c>
    </row>
    <row r="94" spans="1:4">
      <c r="A94" s="4" t="s">
        <v>160</v>
      </c>
      <c r="B94" s="4" t="str">
        <f t="shared" si="7"/>
        <v>XC60_VE</v>
      </c>
      <c r="C94" s="4" t="s">
        <v>161</v>
      </c>
      <c r="D94" s="4" t="s">
        <v>85</v>
      </c>
    </row>
    <row r="95" spans="1:4">
      <c r="A95" s="4" t="s">
        <v>51</v>
      </c>
      <c r="B95" s="4" t="str">
        <f t="shared" si="7"/>
        <v>XC60_R9</v>
      </c>
      <c r="C95" s="4" t="s">
        <v>159</v>
      </c>
      <c r="D95" s="4" t="s">
        <v>85</v>
      </c>
    </row>
    <row r="96" spans="1:4">
      <c r="A96" s="4" t="s">
        <v>49</v>
      </c>
      <c r="B96" s="4" t="str">
        <f t="shared" si="7"/>
        <v>XC60_RE</v>
      </c>
      <c r="C96" s="4" t="s">
        <v>161</v>
      </c>
      <c r="D96" s="4" t="s">
        <v>85</v>
      </c>
    </row>
    <row r="97" spans="1:4">
      <c r="A97" s="4" t="s">
        <v>43</v>
      </c>
      <c r="B97" s="4" t="str">
        <f t="shared" si="7"/>
        <v>XC60_T2</v>
      </c>
      <c r="C97" s="4" t="s">
        <v>69</v>
      </c>
      <c r="D97" s="4" t="s">
        <v>85</v>
      </c>
    </row>
    <row r="98" spans="1:4">
      <c r="A98" s="4" t="s">
        <v>45</v>
      </c>
      <c r="B98" s="4" t="str">
        <f t="shared" si="7"/>
        <v>XC60_T7</v>
      </c>
      <c r="C98" s="4" t="s">
        <v>75</v>
      </c>
      <c r="D98" s="4" t="s">
        <v>85</v>
      </c>
    </row>
    <row r="99" spans="1:4">
      <c r="A99" s="4" t="s">
        <v>42</v>
      </c>
      <c r="B99" s="4" t="str">
        <f t="shared" si="7"/>
        <v>XC60_TR</v>
      </c>
      <c r="C99" s="4" t="s">
        <v>72</v>
      </c>
      <c r="D99" s="4" t="s">
        <v>85</v>
      </c>
    </row>
    <row r="100" spans="1:4">
      <c r="A100" s="4" t="s">
        <v>44</v>
      </c>
      <c r="B100" s="4" t="str">
        <f t="shared" si="7"/>
        <v>XC60_T3</v>
      </c>
      <c r="C100" s="4" t="s">
        <v>80</v>
      </c>
      <c r="D100" s="4" t="s">
        <v>85</v>
      </c>
    </row>
    <row r="101" spans="1:4">
      <c r="A101" s="4" t="s">
        <v>40</v>
      </c>
      <c r="B101" s="4" t="str">
        <f t="shared" si="7"/>
        <v>XC60_TD</v>
      </c>
      <c r="C101" s="4" t="s">
        <v>159</v>
      </c>
      <c r="D101" s="4" t="s">
        <v>85</v>
      </c>
    </row>
    <row r="102" spans="1:4">
      <c r="A102" s="4" t="s">
        <v>39</v>
      </c>
      <c r="B102" s="4" t="str">
        <f t="shared" si="7"/>
        <v>XC60_TA</v>
      </c>
      <c r="C102" s="4" t="s">
        <v>101</v>
      </c>
      <c r="D102" s="4" t="s">
        <v>85</v>
      </c>
    </row>
    <row r="103" spans="1:4">
      <c r="A103" s="4" t="s">
        <v>46</v>
      </c>
      <c r="B103" s="4" t="str">
        <f t="shared" si="7"/>
        <v>XC60_T8</v>
      </c>
      <c r="C103" s="4" t="s">
        <v>99</v>
      </c>
      <c r="D103" s="4" t="s">
        <v>85</v>
      </c>
    </row>
    <row r="104" spans="1:4">
      <c r="A104" s="4" t="s">
        <v>41</v>
      </c>
      <c r="B104" s="4" t="str">
        <f t="shared" si="7"/>
        <v>XC60_TE</v>
      </c>
      <c r="C104" s="4" t="s">
        <v>161</v>
      </c>
      <c r="D104" s="4" t="s">
        <v>85</v>
      </c>
    </row>
    <row r="105" spans="1:4">
      <c r="A105" s="4">
        <v>15</v>
      </c>
      <c r="B105" s="4" t="str">
        <f t="shared" si="7"/>
        <v>EX90_15</v>
      </c>
      <c r="C105" s="4" t="s">
        <v>162</v>
      </c>
      <c r="D105" s="4" t="s">
        <v>106</v>
      </c>
    </row>
    <row r="106" spans="1:4">
      <c r="A106" s="4">
        <v>16</v>
      </c>
      <c r="B106" s="4" t="str">
        <f t="shared" si="7"/>
        <v>EX90_16</v>
      </c>
      <c r="C106" s="4" t="s">
        <v>163</v>
      </c>
      <c r="D106" s="4" t="s">
        <v>106</v>
      </c>
    </row>
    <row r="107" spans="1:4">
      <c r="A107" s="4">
        <v>17</v>
      </c>
      <c r="B107" s="4" t="str">
        <f t="shared" si="7"/>
        <v>EX90_17</v>
      </c>
      <c r="C107" s="4" t="s">
        <v>146</v>
      </c>
      <c r="D107" s="4" t="s">
        <v>106</v>
      </c>
    </row>
    <row r="108" spans="1:4">
      <c r="A108" s="4">
        <v>36</v>
      </c>
      <c r="B108" s="4" t="str">
        <f t="shared" si="7"/>
        <v>EX90_36</v>
      </c>
      <c r="C108" s="4" t="s">
        <v>164</v>
      </c>
      <c r="D108" s="4" t="s">
        <v>106</v>
      </c>
    </row>
    <row r="109" spans="1:4">
      <c r="A109" s="4">
        <v>37</v>
      </c>
      <c r="B109" s="4" t="str">
        <f t="shared" si="7"/>
        <v>EX90_37</v>
      </c>
      <c r="C109" s="4" t="s">
        <v>165</v>
      </c>
      <c r="D109" s="4" t="s">
        <v>106</v>
      </c>
    </row>
    <row r="110" spans="1:4">
      <c r="A110" s="4">
        <v>66</v>
      </c>
      <c r="B110" s="4" t="str">
        <f t="shared" si="7"/>
        <v>EX90_66</v>
      </c>
      <c r="C110" s="4" t="s">
        <v>166</v>
      </c>
      <c r="D110" s="4" t="s">
        <v>106</v>
      </c>
    </row>
    <row r="111" spans="1:4">
      <c r="A111" s="4">
        <v>67</v>
      </c>
      <c r="B111" s="4" t="str">
        <f t="shared" si="7"/>
        <v>EX90_67</v>
      </c>
      <c r="C111" s="4" t="s">
        <v>157</v>
      </c>
      <c r="D111" s="4" t="s">
        <v>106</v>
      </c>
    </row>
    <row r="112" spans="1:4">
      <c r="A112" s="4">
        <v>15</v>
      </c>
      <c r="B112" s="4" t="str">
        <f t="shared" si="7"/>
        <v>EX30_15</v>
      </c>
      <c r="C112" s="4" t="s">
        <v>75</v>
      </c>
      <c r="D112" s="4" t="s">
        <v>107</v>
      </c>
    </row>
    <row r="113" spans="1:4">
      <c r="A113" s="4">
        <v>35</v>
      </c>
      <c r="B113" s="4" t="str">
        <f t="shared" si="7"/>
        <v>EX30_35</v>
      </c>
      <c r="C113" s="4" t="s">
        <v>94</v>
      </c>
      <c r="D113" s="4" t="s">
        <v>107</v>
      </c>
    </row>
    <row r="114" spans="1:4">
      <c r="A114" s="4">
        <v>65</v>
      </c>
      <c r="B114" s="4" t="str">
        <f t="shared" si="7"/>
        <v>EX30_65</v>
      </c>
      <c r="C114" s="4" t="s">
        <v>91</v>
      </c>
      <c r="D114" s="4" t="s">
        <v>107</v>
      </c>
    </row>
    <row r="115" spans="1:4">
      <c r="A115" s="4">
        <v>17</v>
      </c>
      <c r="B115" s="4" t="str">
        <f t="shared" si="7"/>
        <v>V60_17</v>
      </c>
      <c r="C115" s="4" t="s">
        <v>75</v>
      </c>
      <c r="D115" s="4" t="s">
        <v>76</v>
      </c>
    </row>
    <row r="116" spans="1:4">
      <c r="A116" s="4" t="s">
        <v>47</v>
      </c>
      <c r="B116" s="4" t="str">
        <f t="shared" ref="B116:B117" si="8">D116&amp;"_"&amp;A116</f>
        <v>V60_P5</v>
      </c>
      <c r="C116" s="4" t="s">
        <v>147</v>
      </c>
      <c r="D116" s="4" t="s">
        <v>76</v>
      </c>
    </row>
    <row r="117" spans="1:4">
      <c r="A117" s="4" t="s">
        <v>50</v>
      </c>
      <c r="B117" s="4" t="str">
        <f t="shared" si="8"/>
        <v>V60_R5</v>
      </c>
      <c r="C117" s="4" t="s">
        <v>72</v>
      </c>
      <c r="D117" s="4" t="s">
        <v>76</v>
      </c>
    </row>
    <row r="118" spans="1:4">
      <c r="A118" s="4" t="s">
        <v>47</v>
      </c>
      <c r="B118" s="4" t="str">
        <f t="shared" ref="B118" si="9">D118&amp;"_"&amp;A118</f>
        <v>S60_P5</v>
      </c>
      <c r="C118" s="4" t="s">
        <v>147</v>
      </c>
      <c r="D118" s="4" t="s">
        <v>70</v>
      </c>
    </row>
  </sheetData>
  <phoneticPr fontId="7" type="noConversion"/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P39"/>
  <sheetViews>
    <sheetView topLeftCell="A2" zoomScale="70" zoomScaleNormal="70" workbookViewId="0">
      <selection activeCell="J25" sqref="J25"/>
    </sheetView>
  </sheetViews>
  <sheetFormatPr defaultColWidth="11.42578125" defaultRowHeight="15"/>
  <cols>
    <col min="1" max="1" width="9.5703125" style="10" customWidth="1"/>
    <col min="2" max="2" width="14.85546875" style="10" customWidth="1"/>
    <col min="3" max="3" width="12.85546875" style="10" customWidth="1"/>
    <col min="4" max="16" width="11.42578125" style="10"/>
  </cols>
  <sheetData>
    <row r="1" spans="1:3">
      <c r="A1" s="12" t="s">
        <v>167</v>
      </c>
      <c r="B1" s="12"/>
      <c r="C1" s="12"/>
    </row>
    <row r="3" spans="1:3">
      <c r="A3" s="9" t="s">
        <v>168</v>
      </c>
      <c r="B3" s="9" t="s">
        <v>169</v>
      </c>
    </row>
    <row r="4" spans="1:3" ht="30.75" customHeight="1">
      <c r="A4" s="11" t="s">
        <v>170</v>
      </c>
      <c r="B4" s="10" t="s">
        <v>171</v>
      </c>
    </row>
    <row r="5" spans="1:3" ht="30.75" customHeight="1">
      <c r="A5" s="11" t="s">
        <v>172</v>
      </c>
      <c r="B5" s="10" t="s">
        <v>173</v>
      </c>
    </row>
    <row r="6" spans="1:3" ht="30.75" customHeight="1">
      <c r="A6" s="11"/>
    </row>
    <row r="7" spans="1:3" ht="30.75" customHeight="1">
      <c r="A7" s="11"/>
    </row>
    <row r="8" spans="1:3" ht="30.75" customHeight="1">
      <c r="A8" s="11"/>
    </row>
    <row r="9" spans="1:3" ht="30.75" customHeight="1">
      <c r="A9" s="11"/>
    </row>
    <row r="10" spans="1:3" ht="30.75" customHeight="1">
      <c r="A10" s="11"/>
    </row>
    <row r="11" spans="1:3" ht="30.75" customHeight="1">
      <c r="A11" s="11"/>
    </row>
    <row r="12" spans="1:3" ht="30.75" customHeight="1">
      <c r="A12" s="11"/>
    </row>
    <row r="13" spans="1:3" ht="30.75" customHeight="1">
      <c r="A13" s="11"/>
    </row>
    <row r="14" spans="1:3" ht="30.75" customHeight="1">
      <c r="A14" s="11" t="s">
        <v>174</v>
      </c>
      <c r="B14" s="10" t="s">
        <v>175</v>
      </c>
    </row>
    <row r="15" spans="1:3" ht="30.75" customHeight="1">
      <c r="A15" s="11" t="s">
        <v>176</v>
      </c>
      <c r="B15" s="10" t="s">
        <v>177</v>
      </c>
    </row>
    <row r="16" spans="1:3" ht="30.75" customHeight="1">
      <c r="A16" s="11" t="s">
        <v>178</v>
      </c>
      <c r="B16" s="10" t="s">
        <v>179</v>
      </c>
    </row>
    <row r="17" spans="1:1" ht="30.75" customHeight="1">
      <c r="A17" s="11"/>
    </row>
    <row r="18" spans="1:1" ht="30.75" customHeight="1">
      <c r="A18" s="11"/>
    </row>
    <row r="19" spans="1:1" ht="30.75" customHeight="1">
      <c r="A19" s="11"/>
    </row>
    <row r="20" spans="1:1" ht="30.75" customHeight="1">
      <c r="A20" s="11"/>
    </row>
    <row r="21" spans="1:1" ht="30.75" customHeight="1">
      <c r="A21" s="11"/>
    </row>
    <row r="22" spans="1:1" ht="30.75" customHeight="1">
      <c r="A22" s="11"/>
    </row>
    <row r="23" spans="1:1" ht="30.75" customHeight="1">
      <c r="A23" s="11"/>
    </row>
    <row r="24" spans="1:1" ht="30.75" customHeight="1">
      <c r="A24" s="11"/>
    </row>
    <row r="25" spans="1:1" ht="30.75" customHeight="1">
      <c r="A25" s="11"/>
    </row>
    <row r="26" spans="1:1" ht="30.75" customHeight="1">
      <c r="A26" s="11"/>
    </row>
    <row r="27" spans="1:1" ht="30.75" customHeight="1">
      <c r="A27" s="11"/>
    </row>
    <row r="28" spans="1:1" ht="30.75" customHeight="1">
      <c r="A28" s="11"/>
    </row>
    <row r="29" spans="1:1" ht="30.75" customHeight="1">
      <c r="A29" s="11"/>
    </row>
    <row r="30" spans="1:1" ht="30.75" customHeight="1">
      <c r="A30" s="11"/>
    </row>
    <row r="31" spans="1:1" ht="30.75" customHeight="1">
      <c r="A31" s="11"/>
    </row>
    <row r="32" spans="1:1" ht="30.75" customHeight="1">
      <c r="A32" s="11"/>
    </row>
    <row r="33" spans="1:1">
      <c r="A33" s="11"/>
    </row>
    <row r="34" spans="1:1">
      <c r="A34" s="11"/>
    </row>
    <row r="35" spans="1:1">
      <c r="A35" s="11"/>
    </row>
    <row r="36" spans="1:1">
      <c r="A36" s="11"/>
    </row>
    <row r="37" spans="1:1">
      <c r="A37" s="11"/>
    </row>
    <row r="38" spans="1:1">
      <c r="A38" s="11"/>
    </row>
    <row r="39" spans="1:1">
      <c r="A39" s="11"/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16774-59C5-4485-BC1A-3E6DA43B0D1D}">
  <sheetPr codeName="Tabelle6"/>
  <dimension ref="A1:F118"/>
  <sheetViews>
    <sheetView tabSelected="1" zoomScale="80" zoomScaleNormal="80" workbookViewId="0">
      <pane ySplit="1" topLeftCell="A2" activePane="bottomLeft" state="frozen"/>
      <selection pane="bottomLeft" activeCell="B1" sqref="B1:B1048576"/>
    </sheetView>
  </sheetViews>
  <sheetFormatPr defaultColWidth="11.42578125" defaultRowHeight="15"/>
  <cols>
    <col min="1" max="1" width="18.7109375" style="1" bestFit="1" customWidth="1"/>
    <col min="2" max="2" width="24.5703125" style="1" customWidth="1"/>
    <col min="3" max="3" width="22.7109375" style="1" bestFit="1" customWidth="1"/>
    <col min="4" max="4" width="32.5703125" style="1" customWidth="1"/>
    <col min="5" max="5" width="15.7109375" customWidth="1"/>
    <col min="6" max="6" width="15.5703125" customWidth="1"/>
  </cols>
  <sheetData>
    <row r="1" spans="1:6">
      <c r="A1" s="3" t="s">
        <v>180</v>
      </c>
      <c r="B1" s="3" t="s">
        <v>181</v>
      </c>
      <c r="C1" s="3" t="s">
        <v>182</v>
      </c>
      <c r="D1" s="3" t="s">
        <v>183</v>
      </c>
      <c r="E1" s="3" t="s">
        <v>184</v>
      </c>
      <c r="F1" s="3" t="s">
        <v>185</v>
      </c>
    </row>
    <row r="2" spans="1:6">
      <c r="A2" s="4" t="s">
        <v>63</v>
      </c>
      <c r="B2" s="4">
        <v>11</v>
      </c>
      <c r="C2" s="4" t="str">
        <f>A2&amp;"_"&amp;B2</f>
        <v>XC40_11</v>
      </c>
      <c r="D2" s="4" t="s">
        <v>69</v>
      </c>
      <c r="E2" s="4"/>
      <c r="F2" s="4"/>
    </row>
    <row r="3" spans="1:6">
      <c r="A3" s="4" t="s">
        <v>92</v>
      </c>
      <c r="B3" s="4">
        <v>11</v>
      </c>
      <c r="C3" s="4" t="str">
        <f>A3&amp;"_"&amp;B3</f>
        <v>S90_11</v>
      </c>
      <c r="D3" s="4" t="s">
        <v>139</v>
      </c>
      <c r="E3" s="4"/>
      <c r="F3" s="4"/>
    </row>
    <row r="4" spans="1:6">
      <c r="A4" s="4" t="s">
        <v>76</v>
      </c>
      <c r="B4" s="4">
        <v>12</v>
      </c>
      <c r="C4" s="4" t="str">
        <f>A4&amp;"_"&amp;B4</f>
        <v>V60_12</v>
      </c>
      <c r="D4" s="4" t="s">
        <v>69</v>
      </c>
      <c r="E4" s="4"/>
      <c r="F4" s="4"/>
    </row>
    <row r="5" spans="1:6">
      <c r="A5" s="4" t="s">
        <v>85</v>
      </c>
      <c r="B5" s="4">
        <v>12</v>
      </c>
      <c r="C5" s="4" t="str">
        <f>A5&amp;"_"&amp;B5</f>
        <v>XC60_12</v>
      </c>
      <c r="D5" s="4" t="s">
        <v>69</v>
      </c>
      <c r="E5" s="4"/>
      <c r="F5" s="4"/>
    </row>
    <row r="6" spans="1:6">
      <c r="A6" s="4" t="s">
        <v>95</v>
      </c>
      <c r="B6" s="4">
        <v>12</v>
      </c>
      <c r="C6" s="4" t="str">
        <f>A6&amp;"_"&amp;B6</f>
        <v>V90_12</v>
      </c>
      <c r="D6" s="4" t="s">
        <v>69</v>
      </c>
      <c r="E6" s="4"/>
      <c r="F6" s="4"/>
    </row>
    <row r="7" spans="1:6">
      <c r="A7" s="4" t="s">
        <v>92</v>
      </c>
      <c r="B7" s="4">
        <v>12</v>
      </c>
      <c r="C7" s="4" t="str">
        <f>A7&amp;"_"&amp;B7</f>
        <v>S90_12</v>
      </c>
      <c r="D7" s="4" t="s">
        <v>140</v>
      </c>
      <c r="E7" s="4"/>
      <c r="F7" s="4"/>
    </row>
    <row r="8" spans="1:6">
      <c r="A8" s="4" t="s">
        <v>76</v>
      </c>
      <c r="B8" s="4">
        <v>13</v>
      </c>
      <c r="C8" s="4" t="str">
        <f>A8&amp;"_"&amp;B8</f>
        <v>V60_13</v>
      </c>
      <c r="D8" s="4" t="s">
        <v>80</v>
      </c>
      <c r="E8" s="4"/>
      <c r="F8" s="4"/>
    </row>
    <row r="9" spans="1:6">
      <c r="A9" s="4" t="s">
        <v>85</v>
      </c>
      <c r="B9" s="4">
        <v>13</v>
      </c>
      <c r="C9" s="4" t="str">
        <f>A9&amp;"_"&amp;B9</f>
        <v>XC60_13</v>
      </c>
      <c r="D9" s="4" t="s">
        <v>80</v>
      </c>
      <c r="E9" s="4"/>
      <c r="F9" s="4"/>
    </row>
    <row r="10" spans="1:6">
      <c r="A10" s="4" t="s">
        <v>92</v>
      </c>
      <c r="B10" s="4">
        <v>13</v>
      </c>
      <c r="C10" s="4" t="str">
        <f>A10&amp;"_"&amp;B10</f>
        <v>S90_13</v>
      </c>
      <c r="D10" s="4" t="s">
        <v>80</v>
      </c>
      <c r="E10" s="4"/>
      <c r="F10" s="4"/>
    </row>
    <row r="11" spans="1:6">
      <c r="A11" s="4" t="s">
        <v>95</v>
      </c>
      <c r="B11" s="4">
        <v>13</v>
      </c>
      <c r="C11" s="4" t="str">
        <f>A11&amp;"_"&amp;B11</f>
        <v>V90_13</v>
      </c>
      <c r="D11" s="4" t="s">
        <v>80</v>
      </c>
      <c r="E11" s="4"/>
      <c r="F11" s="4"/>
    </row>
    <row r="12" spans="1:6">
      <c r="A12" s="4" t="s">
        <v>63</v>
      </c>
      <c r="B12" s="4">
        <v>13</v>
      </c>
      <c r="C12" s="4" t="str">
        <f>A12&amp;"_"&amp;B12</f>
        <v>XC40_13</v>
      </c>
      <c r="D12" s="4" t="s">
        <v>80</v>
      </c>
      <c r="E12" s="4"/>
      <c r="F12" s="4"/>
    </row>
    <row r="13" spans="1:6">
      <c r="A13" s="4" t="s">
        <v>107</v>
      </c>
      <c r="B13" s="4">
        <v>15</v>
      </c>
      <c r="C13" s="4" t="str">
        <f>A13&amp;"_"&amp;B13</f>
        <v>EX30_15</v>
      </c>
      <c r="D13" s="4" t="s">
        <v>75</v>
      </c>
      <c r="E13" s="4"/>
      <c r="F13" s="4"/>
    </row>
    <row r="14" spans="1:6">
      <c r="A14" s="4" t="s">
        <v>106</v>
      </c>
      <c r="B14" s="4">
        <v>15</v>
      </c>
      <c r="C14" s="4" t="str">
        <f>A14&amp;"_"&amp;B14</f>
        <v>EX90_15</v>
      </c>
      <c r="D14" s="4" t="s">
        <v>162</v>
      </c>
      <c r="E14" s="4"/>
      <c r="F14" s="4"/>
    </row>
    <row r="15" spans="1:6">
      <c r="A15" s="4" t="s">
        <v>106</v>
      </c>
      <c r="B15" s="4">
        <v>16</v>
      </c>
      <c r="C15" s="4" t="str">
        <f>A15&amp;"_"&amp;B15</f>
        <v>EX90_16</v>
      </c>
      <c r="D15" s="4" t="s">
        <v>163</v>
      </c>
      <c r="E15" s="4"/>
      <c r="F15" s="4"/>
    </row>
    <row r="16" spans="1:6">
      <c r="A16" s="4" t="s">
        <v>63</v>
      </c>
      <c r="B16" s="4">
        <v>17</v>
      </c>
      <c r="C16" s="4" t="str">
        <f>A16&amp;"_"&amp;B16</f>
        <v>XC40_17</v>
      </c>
      <c r="D16" s="4" t="s">
        <v>75</v>
      </c>
      <c r="E16" s="4"/>
      <c r="F16" s="4"/>
    </row>
    <row r="17" spans="1:6">
      <c r="A17" s="4" t="s">
        <v>85</v>
      </c>
      <c r="B17" s="4">
        <v>17</v>
      </c>
      <c r="C17" s="4" t="str">
        <f>A17&amp;"_"&amp;B17</f>
        <v>XC60_17</v>
      </c>
      <c r="D17" s="4" t="s">
        <v>75</v>
      </c>
      <c r="E17" s="4"/>
      <c r="F17" s="4"/>
    </row>
    <row r="18" spans="1:6">
      <c r="A18" s="4" t="s">
        <v>92</v>
      </c>
      <c r="B18" s="4">
        <v>17</v>
      </c>
      <c r="C18" s="4" t="str">
        <f>A18&amp;"_"&amp;B18</f>
        <v>S90_17</v>
      </c>
      <c r="D18" s="4" t="s">
        <v>75</v>
      </c>
      <c r="E18" s="4"/>
      <c r="F18" s="4"/>
    </row>
    <row r="19" spans="1:6">
      <c r="A19" s="4" t="s">
        <v>95</v>
      </c>
      <c r="B19" s="4">
        <v>17</v>
      </c>
      <c r="C19" s="4" t="str">
        <f>A19&amp;"_"&amp;B19</f>
        <v>V90_17</v>
      </c>
      <c r="D19" s="4" t="s">
        <v>75</v>
      </c>
      <c r="E19" s="4"/>
      <c r="F19" s="4"/>
    </row>
    <row r="20" spans="1:6">
      <c r="A20" s="4" t="s">
        <v>70</v>
      </c>
      <c r="B20" s="4">
        <v>17</v>
      </c>
      <c r="C20" s="4" t="str">
        <f>A20&amp;"_"&amp;B20</f>
        <v>S60_17</v>
      </c>
      <c r="D20" s="4" t="s">
        <v>75</v>
      </c>
      <c r="E20" s="4"/>
      <c r="F20" s="4"/>
    </row>
    <row r="21" spans="1:6">
      <c r="A21" s="4" t="s">
        <v>76</v>
      </c>
      <c r="B21" s="4">
        <v>17</v>
      </c>
      <c r="C21" s="4" t="str">
        <f>A21&amp;"_"&amp;B21</f>
        <v>V60_17</v>
      </c>
      <c r="D21" s="4" t="s">
        <v>75</v>
      </c>
      <c r="E21" s="4"/>
      <c r="F21" s="4"/>
    </row>
    <row r="22" spans="1:6">
      <c r="A22" s="4" t="s">
        <v>106</v>
      </c>
      <c r="B22" s="4">
        <v>17</v>
      </c>
      <c r="C22" s="4" t="str">
        <f>A22&amp;"_"&amp;B22</f>
        <v>EX90_17</v>
      </c>
      <c r="D22" s="4" t="s">
        <v>146</v>
      </c>
      <c r="E22" s="4"/>
      <c r="F22" s="4"/>
    </row>
    <row r="23" spans="1:6">
      <c r="A23" s="4" t="s">
        <v>63</v>
      </c>
      <c r="B23" s="4">
        <v>18</v>
      </c>
      <c r="C23" s="4" t="str">
        <f>A23&amp;"_"&amp;B23</f>
        <v>XC40_18</v>
      </c>
      <c r="D23" s="4" t="s">
        <v>99</v>
      </c>
      <c r="E23" s="4"/>
      <c r="F23" s="4"/>
    </row>
    <row r="24" spans="1:6">
      <c r="A24" s="4" t="s">
        <v>85</v>
      </c>
      <c r="B24" s="4">
        <v>18</v>
      </c>
      <c r="C24" s="4" t="str">
        <f>A24&amp;"_"&amp;B24</f>
        <v>XC60_18</v>
      </c>
      <c r="D24" s="4" t="s">
        <v>99</v>
      </c>
      <c r="E24" s="4"/>
      <c r="F24" s="4"/>
    </row>
    <row r="25" spans="1:6">
      <c r="A25" s="4" t="s">
        <v>76</v>
      </c>
      <c r="B25" s="4">
        <v>18</v>
      </c>
      <c r="C25" s="4" t="str">
        <f>A25&amp;"_"&amp;B25</f>
        <v>V60_18</v>
      </c>
      <c r="D25" s="4" t="s">
        <v>99</v>
      </c>
      <c r="E25" s="4"/>
      <c r="F25" s="4"/>
    </row>
    <row r="26" spans="1:6">
      <c r="A26" s="4" t="s">
        <v>70</v>
      </c>
      <c r="B26" s="4">
        <v>18</v>
      </c>
      <c r="C26" s="4" t="str">
        <f>A26&amp;"_"&amp;B26</f>
        <v>S60_18</v>
      </c>
      <c r="D26" s="4" t="s">
        <v>99</v>
      </c>
      <c r="E26" s="4"/>
      <c r="F26" s="4"/>
    </row>
    <row r="27" spans="1:6">
      <c r="A27" s="4" t="s">
        <v>95</v>
      </c>
      <c r="B27" s="4">
        <v>18</v>
      </c>
      <c r="C27" s="4" t="str">
        <f>A27&amp;"_"&amp;B27</f>
        <v>V90_18</v>
      </c>
      <c r="D27" s="4" t="s">
        <v>99</v>
      </c>
      <c r="E27" s="4"/>
      <c r="F27" s="4"/>
    </row>
    <row r="28" spans="1:6">
      <c r="A28" s="4" t="s">
        <v>92</v>
      </c>
      <c r="B28" s="4">
        <v>18</v>
      </c>
      <c r="C28" s="4" t="str">
        <f>A28&amp;"_"&amp;B28</f>
        <v>S90_18</v>
      </c>
      <c r="D28" s="4" t="s">
        <v>99</v>
      </c>
      <c r="E28" s="4"/>
      <c r="F28" s="4"/>
    </row>
    <row r="29" spans="1:6">
      <c r="A29" s="4" t="s">
        <v>89</v>
      </c>
      <c r="B29" s="4">
        <v>23</v>
      </c>
      <c r="C29" s="4" t="str">
        <f>A29&amp;"_"&amp;B29</f>
        <v>XC90_23</v>
      </c>
      <c r="D29" s="4" t="s">
        <v>141</v>
      </c>
      <c r="E29" s="4"/>
      <c r="F29" s="4"/>
    </row>
    <row r="30" spans="1:6">
      <c r="A30" s="4" t="s">
        <v>89</v>
      </c>
      <c r="B30" s="4">
        <v>27</v>
      </c>
      <c r="C30" s="4" t="str">
        <f>A30&amp;"_"&amp;B30</f>
        <v>XC90_27</v>
      </c>
      <c r="D30" s="4" t="s">
        <v>146</v>
      </c>
      <c r="E30" s="4"/>
      <c r="F30" s="4"/>
    </row>
    <row r="31" spans="1:6">
      <c r="A31" s="4" t="s">
        <v>89</v>
      </c>
      <c r="B31" s="4">
        <v>28</v>
      </c>
      <c r="C31" s="4" t="str">
        <f>A31&amp;"_"&amp;B31</f>
        <v>XC90_28</v>
      </c>
      <c r="D31" s="4" t="s">
        <v>155</v>
      </c>
      <c r="E31" s="4"/>
      <c r="F31" s="4"/>
    </row>
    <row r="32" spans="1:6">
      <c r="A32" s="4" t="s">
        <v>107</v>
      </c>
      <c r="B32" s="4">
        <v>35</v>
      </c>
      <c r="C32" s="4" t="str">
        <f>A32&amp;"_"&amp;B32</f>
        <v>EX30_35</v>
      </c>
      <c r="D32" s="4" t="s">
        <v>94</v>
      </c>
      <c r="E32" s="4"/>
      <c r="F32" s="4"/>
    </row>
    <row r="33" spans="1:6">
      <c r="A33" s="4" t="s">
        <v>106</v>
      </c>
      <c r="B33" s="4">
        <v>36</v>
      </c>
      <c r="C33" s="4" t="str">
        <f>A33&amp;"_"&amp;B33</f>
        <v>EX90_36</v>
      </c>
      <c r="D33" s="4" t="s">
        <v>164</v>
      </c>
      <c r="E33" s="4"/>
      <c r="F33" s="4"/>
    </row>
    <row r="34" spans="1:6">
      <c r="A34" s="4" t="s">
        <v>106</v>
      </c>
      <c r="B34" s="4">
        <v>37</v>
      </c>
      <c r="C34" s="4" t="str">
        <f>A34&amp;"_"&amp;B34</f>
        <v>EX90_37</v>
      </c>
      <c r="D34" s="4" t="s">
        <v>165</v>
      </c>
      <c r="E34" s="4"/>
      <c r="F34" s="4"/>
    </row>
    <row r="35" spans="1:6">
      <c r="A35" s="4" t="s">
        <v>107</v>
      </c>
      <c r="B35" s="4">
        <v>65</v>
      </c>
      <c r="C35" s="4" t="str">
        <f>A35&amp;"_"&amp;B35</f>
        <v>EX30_65</v>
      </c>
      <c r="D35" s="4" t="s">
        <v>91</v>
      </c>
      <c r="E35" s="4"/>
      <c r="F35" s="4"/>
    </row>
    <row r="36" spans="1:6">
      <c r="A36" s="4" t="s">
        <v>106</v>
      </c>
      <c r="B36" s="4">
        <v>66</v>
      </c>
      <c r="C36" s="4" t="str">
        <f>A36&amp;"_"&amp;B36</f>
        <v>EX90_66</v>
      </c>
      <c r="D36" s="4" t="s">
        <v>166</v>
      </c>
      <c r="E36" s="4"/>
      <c r="F36" s="4"/>
    </row>
    <row r="37" spans="1:6">
      <c r="A37" s="4" t="s">
        <v>106</v>
      </c>
      <c r="B37" s="4">
        <v>67</v>
      </c>
      <c r="C37" s="4" t="str">
        <f>A37&amp;"_"&amp;B37</f>
        <v>EX90_67</v>
      </c>
      <c r="D37" s="4" t="s">
        <v>157</v>
      </c>
      <c r="E37" s="4"/>
      <c r="F37" s="4"/>
    </row>
    <row r="38" spans="1:6">
      <c r="A38" s="4" t="s">
        <v>106</v>
      </c>
      <c r="B38" s="4">
        <v>67</v>
      </c>
      <c r="C38" s="4" t="str">
        <f>A38&amp;"_"&amp;B38</f>
        <v>EX90_67</v>
      </c>
      <c r="D38" s="4" t="s">
        <v>157</v>
      </c>
      <c r="E38" s="4"/>
      <c r="F38" s="4"/>
    </row>
    <row r="39" spans="1:6">
      <c r="A39" s="4" t="s">
        <v>92</v>
      </c>
      <c r="B39" s="4" t="s">
        <v>148</v>
      </c>
      <c r="C39" s="4" t="str">
        <f>A39&amp;"_"&amp;B39</f>
        <v>S90_1B</v>
      </c>
      <c r="D39" s="4" t="s">
        <v>149</v>
      </c>
      <c r="E39" s="4"/>
      <c r="F39" s="4"/>
    </row>
    <row r="40" spans="1:6">
      <c r="A40" s="4" t="s">
        <v>89</v>
      </c>
      <c r="B40" s="4" t="s">
        <v>148</v>
      </c>
      <c r="C40" s="4" t="str">
        <f>A40&amp;"_"&amp;B40</f>
        <v>XC90_1B</v>
      </c>
      <c r="D40" s="4" t="s">
        <v>149</v>
      </c>
      <c r="E40" s="4"/>
      <c r="F40" s="4"/>
    </row>
    <row r="41" spans="1:6">
      <c r="A41" s="4" t="s">
        <v>89</v>
      </c>
      <c r="B41" s="4" t="s">
        <v>150</v>
      </c>
      <c r="C41" s="4" t="str">
        <f>A41&amp;"_"&amp;B41</f>
        <v>XC90_2B</v>
      </c>
      <c r="D41" s="4" t="s">
        <v>151</v>
      </c>
      <c r="E41" s="4"/>
      <c r="F41" s="4"/>
    </row>
    <row r="42" spans="1:6">
      <c r="A42" s="4" t="s">
        <v>89</v>
      </c>
      <c r="B42" s="4" t="s">
        <v>152</v>
      </c>
      <c r="C42" s="4" t="str">
        <f>A42&amp;"_"&amp;B42</f>
        <v>XC90_B2</v>
      </c>
      <c r="D42" s="4" t="s">
        <v>153</v>
      </c>
      <c r="E42" s="4"/>
      <c r="F42" s="4"/>
    </row>
    <row r="43" spans="1:6">
      <c r="A43" s="4" t="s">
        <v>85</v>
      </c>
      <c r="B43" s="4" t="s">
        <v>152</v>
      </c>
      <c r="C43" s="4" t="str">
        <f>A43&amp;"_"&amp;B43</f>
        <v>XC60_B2</v>
      </c>
      <c r="D43" s="4" t="s">
        <v>153</v>
      </c>
      <c r="E43" s="4"/>
      <c r="F43" s="4"/>
    </row>
    <row r="44" spans="1:6">
      <c r="A44" s="4" t="s">
        <v>92</v>
      </c>
      <c r="B44" s="4" t="s">
        <v>144</v>
      </c>
      <c r="C44" s="4" t="str">
        <f>A44&amp;"_"&amp;B44</f>
        <v>S90_FE</v>
      </c>
      <c r="D44" s="4" t="s">
        <v>145</v>
      </c>
      <c r="E44" s="4"/>
      <c r="F44" s="4"/>
    </row>
    <row r="45" spans="1:6">
      <c r="A45" s="4" t="s">
        <v>63</v>
      </c>
      <c r="B45" s="4" t="s">
        <v>30</v>
      </c>
      <c r="C45" s="4" t="str">
        <f>A45&amp;"_"&amp;B45</f>
        <v>XC40_G2</v>
      </c>
      <c r="D45" s="4" t="s">
        <v>69</v>
      </c>
      <c r="E45" s="4"/>
      <c r="F45" s="4"/>
    </row>
    <row r="46" spans="1:6">
      <c r="A46" s="4" t="s">
        <v>85</v>
      </c>
      <c r="B46" s="4" t="s">
        <v>30</v>
      </c>
      <c r="C46" s="4" t="str">
        <f>A46&amp;"_"&amp;B46</f>
        <v>XC60_G2</v>
      </c>
      <c r="D46" s="4" t="s">
        <v>69</v>
      </c>
      <c r="E46" s="4"/>
      <c r="F46" s="4"/>
    </row>
    <row r="47" spans="1:6">
      <c r="A47" s="4" t="s">
        <v>76</v>
      </c>
      <c r="B47" s="4" t="s">
        <v>30</v>
      </c>
      <c r="C47" s="4" t="str">
        <f>A47&amp;"_"&amp;B47</f>
        <v>V60_G2</v>
      </c>
      <c r="D47" s="4" t="s">
        <v>69</v>
      </c>
      <c r="E47" s="4"/>
      <c r="F47" s="4"/>
    </row>
    <row r="48" spans="1:6">
      <c r="A48" s="4" t="s">
        <v>95</v>
      </c>
      <c r="B48" s="4" t="s">
        <v>30</v>
      </c>
      <c r="C48" s="4" t="str">
        <f>A48&amp;"_"&amp;B48</f>
        <v>V90_G2</v>
      </c>
      <c r="D48" s="4" t="s">
        <v>69</v>
      </c>
      <c r="E48" s="4"/>
      <c r="F48" s="4"/>
    </row>
    <row r="49" spans="1:6">
      <c r="A49" s="4" t="s">
        <v>63</v>
      </c>
      <c r="B49" s="4" t="s">
        <v>31</v>
      </c>
      <c r="C49" s="4" t="str">
        <f>A49&amp;"_"&amp;B49</f>
        <v>XC40_G3</v>
      </c>
      <c r="D49" s="4" t="s">
        <v>80</v>
      </c>
      <c r="E49" s="4"/>
      <c r="F49" s="4"/>
    </row>
    <row r="50" spans="1:6">
      <c r="A50" s="4" t="s">
        <v>85</v>
      </c>
      <c r="B50" s="4" t="s">
        <v>31</v>
      </c>
      <c r="C50" s="4" t="str">
        <f>A50&amp;"_"&amp;B50</f>
        <v>XC60_G3</v>
      </c>
      <c r="D50" s="4" t="s">
        <v>80</v>
      </c>
      <c r="E50" s="4"/>
      <c r="F50" s="4"/>
    </row>
    <row r="51" spans="1:6">
      <c r="A51" s="4" t="s">
        <v>76</v>
      </c>
      <c r="B51" s="4" t="s">
        <v>31</v>
      </c>
      <c r="C51" s="4" t="str">
        <f>A51&amp;"_"&amp;B51</f>
        <v>V60_G3</v>
      </c>
      <c r="D51" s="4" t="s">
        <v>80</v>
      </c>
      <c r="E51" s="4"/>
      <c r="F51" s="4"/>
    </row>
    <row r="52" spans="1:6">
      <c r="A52" s="4" t="s">
        <v>70</v>
      </c>
      <c r="B52" s="4" t="s">
        <v>31</v>
      </c>
      <c r="C52" s="4" t="str">
        <f>A52&amp;"_"&amp;B52</f>
        <v>S60_G3</v>
      </c>
      <c r="D52" s="4" t="s">
        <v>80</v>
      </c>
      <c r="E52" s="4"/>
      <c r="F52" s="4"/>
    </row>
    <row r="53" spans="1:6">
      <c r="A53" s="4" t="s">
        <v>95</v>
      </c>
      <c r="B53" s="4" t="s">
        <v>31</v>
      </c>
      <c r="C53" s="4" t="str">
        <f>A53&amp;"_"&amp;B53</f>
        <v>V90_G3</v>
      </c>
      <c r="D53" s="4" t="s">
        <v>80</v>
      </c>
      <c r="E53" s="4"/>
      <c r="F53" s="4"/>
    </row>
    <row r="54" spans="1:6">
      <c r="A54" s="4" t="s">
        <v>92</v>
      </c>
      <c r="B54" s="4" t="s">
        <v>31</v>
      </c>
      <c r="C54" s="4" t="str">
        <f>A54&amp;"_"&amp;B54</f>
        <v>S90_G3</v>
      </c>
      <c r="D54" s="4" t="s">
        <v>80</v>
      </c>
      <c r="E54" s="4"/>
      <c r="F54" s="4"/>
    </row>
    <row r="55" spans="1:6">
      <c r="A55" s="4" t="s">
        <v>63</v>
      </c>
      <c r="B55" s="4" t="s">
        <v>33</v>
      </c>
      <c r="C55" s="4" t="str">
        <f>A55&amp;"_"&amp;B55</f>
        <v>XC40_G7</v>
      </c>
      <c r="D55" s="4" t="s">
        <v>75</v>
      </c>
      <c r="E55" s="4"/>
      <c r="F55" s="4"/>
    </row>
    <row r="56" spans="1:6">
      <c r="A56" s="4" t="s">
        <v>85</v>
      </c>
      <c r="B56" s="4" t="s">
        <v>33</v>
      </c>
      <c r="C56" s="4" t="str">
        <f>A56&amp;"_"&amp;B56</f>
        <v>XC60_G7</v>
      </c>
      <c r="D56" s="4" t="s">
        <v>75</v>
      </c>
      <c r="E56" s="4"/>
      <c r="F56" s="4"/>
    </row>
    <row r="57" spans="1:6">
      <c r="A57" s="4" t="s">
        <v>76</v>
      </c>
      <c r="B57" s="4" t="s">
        <v>33</v>
      </c>
      <c r="C57" s="4" t="str">
        <f>A57&amp;"_"&amp;B57</f>
        <v>V60_G7</v>
      </c>
      <c r="D57" s="4" t="s">
        <v>75</v>
      </c>
      <c r="E57" s="4"/>
      <c r="F57" s="4"/>
    </row>
    <row r="58" spans="1:6">
      <c r="A58" s="4" t="s">
        <v>95</v>
      </c>
      <c r="B58" s="4" t="s">
        <v>33</v>
      </c>
      <c r="C58" s="4" t="str">
        <f>A58&amp;"_"&amp;B58</f>
        <v>V90_G7</v>
      </c>
      <c r="D58" s="4" t="s">
        <v>75</v>
      </c>
      <c r="E58" s="4"/>
      <c r="F58" s="4"/>
    </row>
    <row r="59" spans="1:6">
      <c r="A59" s="4" t="s">
        <v>92</v>
      </c>
      <c r="B59" s="4" t="s">
        <v>33</v>
      </c>
      <c r="C59" s="4" t="str">
        <f>A59&amp;"_"&amp;B59</f>
        <v>S90_G7</v>
      </c>
      <c r="D59" s="4" t="s">
        <v>75</v>
      </c>
      <c r="E59" s="4"/>
      <c r="F59" s="4"/>
    </row>
    <row r="60" spans="1:6">
      <c r="A60" s="4" t="s">
        <v>70</v>
      </c>
      <c r="B60" s="4" t="s">
        <v>33</v>
      </c>
      <c r="C60" s="4" t="str">
        <f>A60&amp;"_"&amp;B60</f>
        <v>S60_G7</v>
      </c>
      <c r="D60" s="4" t="s">
        <v>75</v>
      </c>
      <c r="E60" s="4"/>
      <c r="F60" s="4"/>
    </row>
    <row r="61" spans="1:6">
      <c r="A61" s="4" t="s">
        <v>63</v>
      </c>
      <c r="B61" s="4" t="s">
        <v>34</v>
      </c>
      <c r="C61" s="4" t="str">
        <f>A61&amp;"_"&amp;B61</f>
        <v>XC40_G8</v>
      </c>
      <c r="D61" s="4" t="s">
        <v>99</v>
      </c>
      <c r="E61" s="4"/>
      <c r="F61" s="4"/>
    </row>
    <row r="62" spans="1:6">
      <c r="A62" s="4" t="s">
        <v>85</v>
      </c>
      <c r="B62" s="4" t="s">
        <v>34</v>
      </c>
      <c r="C62" s="4" t="str">
        <f>A62&amp;"_"&amp;B62</f>
        <v>XC60_G8</v>
      </c>
      <c r="D62" s="4" t="s">
        <v>99</v>
      </c>
      <c r="E62" s="4"/>
      <c r="F62" s="4"/>
    </row>
    <row r="63" spans="1:6">
      <c r="A63" s="4" t="s">
        <v>76</v>
      </c>
      <c r="B63" s="4" t="s">
        <v>34</v>
      </c>
      <c r="C63" s="4" t="str">
        <f>A63&amp;"_"&amp;B63</f>
        <v>V60_G8</v>
      </c>
      <c r="D63" s="4" t="s">
        <v>99</v>
      </c>
      <c r="E63" s="4"/>
      <c r="F63" s="4"/>
    </row>
    <row r="64" spans="1:6">
      <c r="A64" s="4" t="s">
        <v>70</v>
      </c>
      <c r="B64" s="4" t="s">
        <v>34</v>
      </c>
      <c r="C64" s="4" t="str">
        <f>A64&amp;"_"&amp;B64</f>
        <v>S60_G8</v>
      </c>
      <c r="D64" s="4" t="s">
        <v>99</v>
      </c>
      <c r="E64" s="4"/>
      <c r="F64" s="4"/>
    </row>
    <row r="65" spans="1:6">
      <c r="A65" s="4" t="s">
        <v>95</v>
      </c>
      <c r="B65" s="4" t="s">
        <v>34</v>
      </c>
      <c r="C65" s="4" t="str">
        <f>A65&amp;"_"&amp;B65</f>
        <v>V90_G8</v>
      </c>
      <c r="D65" s="4" t="s">
        <v>99</v>
      </c>
      <c r="E65" s="4"/>
      <c r="F65" s="4"/>
    </row>
    <row r="66" spans="1:6">
      <c r="A66" s="4" t="s">
        <v>92</v>
      </c>
      <c r="B66" s="4" t="s">
        <v>34</v>
      </c>
      <c r="C66" s="4" t="str">
        <f>A66&amp;"_"&amp;B66</f>
        <v>S90_G8</v>
      </c>
      <c r="D66" s="4" t="s">
        <v>99</v>
      </c>
      <c r="E66" s="4"/>
      <c r="F66" s="4"/>
    </row>
    <row r="67" spans="1:6">
      <c r="A67" s="4" t="s">
        <v>89</v>
      </c>
      <c r="B67" s="4" t="s">
        <v>22</v>
      </c>
      <c r="C67" s="4" t="str">
        <f>A67&amp;"_"&amp;B67</f>
        <v>XC90_H3</v>
      </c>
      <c r="D67" s="4" t="s">
        <v>141</v>
      </c>
      <c r="E67" s="4"/>
      <c r="F67" s="4"/>
    </row>
    <row r="68" spans="1:6">
      <c r="A68" s="4" t="s">
        <v>89</v>
      </c>
      <c r="B68" s="4" t="s">
        <v>21</v>
      </c>
      <c r="C68" s="4" t="str">
        <f>A68&amp;"_"&amp;B68</f>
        <v>XC90_H7</v>
      </c>
      <c r="D68" s="4" t="s">
        <v>146</v>
      </c>
      <c r="E68" s="4"/>
      <c r="F68" s="4"/>
    </row>
    <row r="69" spans="1:6">
      <c r="A69" s="4" t="s">
        <v>89</v>
      </c>
      <c r="B69" s="4" t="s">
        <v>24</v>
      </c>
      <c r="C69" s="4" t="str">
        <f>A69&amp;"_"&amp;B69</f>
        <v>XC90_H8</v>
      </c>
      <c r="D69" s="4" t="s">
        <v>155</v>
      </c>
      <c r="E69" s="4"/>
      <c r="F69" s="4"/>
    </row>
    <row r="70" spans="1:6">
      <c r="A70" s="4" t="s">
        <v>85</v>
      </c>
      <c r="B70" s="4" t="s">
        <v>47</v>
      </c>
      <c r="C70" s="4" t="str">
        <f>A70&amp;"_"&amp;B70</f>
        <v>XC60_P5</v>
      </c>
      <c r="D70" s="4" t="s">
        <v>147</v>
      </c>
      <c r="E70" s="4"/>
      <c r="F70" s="4"/>
    </row>
    <row r="71" spans="1:6">
      <c r="A71" s="4" t="s">
        <v>76</v>
      </c>
      <c r="B71" s="4" t="s">
        <v>47</v>
      </c>
      <c r="C71" s="4" t="str">
        <f>A71&amp;"_"&amp;B71</f>
        <v>V60_P5</v>
      </c>
      <c r="D71" s="4" t="s">
        <v>147</v>
      </c>
      <c r="E71" s="4"/>
      <c r="F71" s="4"/>
    </row>
    <row r="72" spans="1:6">
      <c r="A72" s="4" t="s">
        <v>70</v>
      </c>
      <c r="B72" s="4" t="s">
        <v>47</v>
      </c>
      <c r="C72" s="4" t="str">
        <f>A72&amp;"_"&amp;B72</f>
        <v>S60_P5</v>
      </c>
      <c r="D72" s="4" t="s">
        <v>147</v>
      </c>
      <c r="E72" s="4"/>
      <c r="F72" s="4"/>
    </row>
    <row r="73" spans="1:6">
      <c r="A73" s="4" t="s">
        <v>56</v>
      </c>
      <c r="B73" s="4" t="s">
        <v>55</v>
      </c>
      <c r="C73" s="4" t="str">
        <f>A73&amp;"_"&amp;B73</f>
        <v>EX40_R4</v>
      </c>
      <c r="D73" s="4" t="s">
        <v>69</v>
      </c>
      <c r="E73" s="4"/>
      <c r="F73" s="4"/>
    </row>
    <row r="74" spans="1:6">
      <c r="A74" s="4" t="s">
        <v>92</v>
      </c>
      <c r="B74" s="4" t="s">
        <v>50</v>
      </c>
      <c r="C74" s="4" t="str">
        <f>A74&amp;"_"&amp;B74</f>
        <v>S90_R5</v>
      </c>
      <c r="D74" s="4" t="s">
        <v>72</v>
      </c>
      <c r="E74" s="4"/>
      <c r="F74" s="4"/>
    </row>
    <row r="75" spans="1:6">
      <c r="A75" s="4" t="s">
        <v>95</v>
      </c>
      <c r="B75" s="4" t="s">
        <v>50</v>
      </c>
      <c r="C75" s="4" t="str">
        <f>A75&amp;"_"&amp;B75</f>
        <v>V90_R5</v>
      </c>
      <c r="D75" s="4" t="s">
        <v>72</v>
      </c>
      <c r="E75" s="4"/>
      <c r="F75" s="4"/>
    </row>
    <row r="76" spans="1:6">
      <c r="A76" s="4" t="s">
        <v>63</v>
      </c>
      <c r="B76" s="4" t="s">
        <v>50</v>
      </c>
      <c r="C76" s="4" t="str">
        <f>A76&amp;"_"&amp;B76</f>
        <v>XC40_R5</v>
      </c>
      <c r="D76" s="4" t="s">
        <v>72</v>
      </c>
      <c r="E76" s="4"/>
      <c r="F76" s="4"/>
    </row>
    <row r="77" spans="1:6">
      <c r="A77" s="4" t="s">
        <v>85</v>
      </c>
      <c r="B77" s="4" t="s">
        <v>50</v>
      </c>
      <c r="C77" s="4" t="str">
        <f>A77&amp;"_"&amp;B77</f>
        <v>XC60_R5</v>
      </c>
      <c r="D77" s="4" t="s">
        <v>72</v>
      </c>
      <c r="E77" s="4"/>
      <c r="F77" s="4"/>
    </row>
    <row r="78" spans="1:6">
      <c r="A78" s="4" t="s">
        <v>76</v>
      </c>
      <c r="B78" s="4" t="s">
        <v>50</v>
      </c>
      <c r="C78" s="4" t="str">
        <f>A78&amp;"_"&amp;B78</f>
        <v>V60_R5</v>
      </c>
      <c r="D78" s="4" t="s">
        <v>72</v>
      </c>
      <c r="E78" s="4"/>
      <c r="F78" s="4"/>
    </row>
    <row r="79" spans="1:6">
      <c r="A79" s="4" t="s">
        <v>56</v>
      </c>
      <c r="B79" s="4" t="s">
        <v>57</v>
      </c>
      <c r="C79" s="4" t="str">
        <f>A79&amp;"_"&amp;B79</f>
        <v>EX40_R6</v>
      </c>
      <c r="D79" s="16" t="s">
        <v>75</v>
      </c>
      <c r="E79" s="4"/>
      <c r="F79" s="4"/>
    </row>
    <row r="80" spans="1:6">
      <c r="A80" s="4" t="s">
        <v>105</v>
      </c>
      <c r="B80" s="4" t="s">
        <v>57</v>
      </c>
      <c r="C80" s="4" t="str">
        <f>A80&amp;"_"&amp;B80</f>
        <v>EC40_R6</v>
      </c>
      <c r="D80" s="4" t="s">
        <v>75</v>
      </c>
      <c r="E80" s="4"/>
      <c r="F80" s="4"/>
    </row>
    <row r="81" spans="1:6">
      <c r="A81" s="4" t="s">
        <v>89</v>
      </c>
      <c r="B81" s="4" t="s">
        <v>142</v>
      </c>
      <c r="C81" s="4" t="str">
        <f>A81&amp;"_"&amp;B81</f>
        <v>XC90_R7</v>
      </c>
      <c r="D81" s="4" t="s">
        <v>143</v>
      </c>
      <c r="E81" s="4"/>
      <c r="F81" s="4"/>
    </row>
    <row r="82" spans="1:6">
      <c r="A82" s="4" t="s">
        <v>56</v>
      </c>
      <c r="B82" s="4" t="s">
        <v>58</v>
      </c>
      <c r="C82" s="4" t="str">
        <f>A82&amp;"_"&amp;B82</f>
        <v>EX40_R8</v>
      </c>
      <c r="D82" s="4" t="s">
        <v>94</v>
      </c>
      <c r="E82" s="4"/>
      <c r="F82" s="4"/>
    </row>
    <row r="83" spans="1:6">
      <c r="A83" s="4" t="s">
        <v>105</v>
      </c>
      <c r="B83" s="4" t="s">
        <v>58</v>
      </c>
      <c r="C83" s="4" t="str">
        <f>A83&amp;"_"&amp;B83</f>
        <v>EC40_R8</v>
      </c>
      <c r="D83" s="4" t="s">
        <v>94</v>
      </c>
      <c r="E83" s="4"/>
      <c r="F83" s="4"/>
    </row>
    <row r="84" spans="1:6">
      <c r="A84" s="4" t="s">
        <v>85</v>
      </c>
      <c r="B84" s="4" t="s">
        <v>51</v>
      </c>
      <c r="C84" s="4" t="str">
        <f>A84&amp;"_"&amp;B84</f>
        <v>XC60_R9</v>
      </c>
      <c r="D84" s="4" t="s">
        <v>159</v>
      </c>
      <c r="E84" s="4"/>
      <c r="F84" s="4"/>
    </row>
    <row r="85" spans="1:6">
      <c r="A85" s="4" t="s">
        <v>63</v>
      </c>
      <c r="B85" s="4" t="s">
        <v>48</v>
      </c>
      <c r="C85" s="4" t="str">
        <f>A85&amp;"_"&amp;B85</f>
        <v>XC40_RA</v>
      </c>
      <c r="D85" s="4" t="s">
        <v>101</v>
      </c>
      <c r="E85" s="4"/>
      <c r="F85" s="4"/>
    </row>
    <row r="86" spans="1:6">
      <c r="A86" s="4" t="s">
        <v>85</v>
      </c>
      <c r="B86" s="4" t="s">
        <v>48</v>
      </c>
      <c r="C86" s="4" t="str">
        <f>A86&amp;"_"&amp;B86</f>
        <v>XC60_RA</v>
      </c>
      <c r="D86" s="4" t="s">
        <v>101</v>
      </c>
      <c r="E86" s="4"/>
      <c r="F86" s="4"/>
    </row>
    <row r="87" spans="1:6">
      <c r="A87" s="4" t="s">
        <v>76</v>
      </c>
      <c r="B87" s="4" t="s">
        <v>48</v>
      </c>
      <c r="C87" s="4" t="str">
        <f>A87&amp;"_"&amp;B87</f>
        <v>V60_RA</v>
      </c>
      <c r="D87" s="4" t="s">
        <v>101</v>
      </c>
      <c r="E87" s="4"/>
      <c r="F87" s="4"/>
    </row>
    <row r="88" spans="1:6">
      <c r="A88" s="4" t="s">
        <v>70</v>
      </c>
      <c r="B88" s="4" t="s">
        <v>48</v>
      </c>
      <c r="C88" s="4" t="str">
        <f>A88&amp;"_"&amp;B88</f>
        <v>S60_RA</v>
      </c>
      <c r="D88" s="4" t="s">
        <v>101</v>
      </c>
      <c r="E88" s="4"/>
      <c r="F88" s="4"/>
    </row>
    <row r="89" spans="1:6">
      <c r="A89" s="4" t="s">
        <v>95</v>
      </c>
      <c r="B89" s="4" t="s">
        <v>48</v>
      </c>
      <c r="C89" s="4" t="str">
        <f>A89&amp;"_"&amp;B89</f>
        <v>V90_RA</v>
      </c>
      <c r="D89" s="4" t="s">
        <v>101</v>
      </c>
      <c r="E89" s="4"/>
      <c r="F89" s="4"/>
    </row>
    <row r="90" spans="1:6">
      <c r="A90" s="4" t="s">
        <v>92</v>
      </c>
      <c r="B90" s="4" t="s">
        <v>48</v>
      </c>
      <c r="C90" s="4" t="str">
        <f>A90&amp;"_"&amp;B90</f>
        <v>S90_RA</v>
      </c>
      <c r="D90" s="4" t="s">
        <v>101</v>
      </c>
      <c r="E90" s="4"/>
      <c r="F90" s="4"/>
    </row>
    <row r="91" spans="1:6">
      <c r="A91" s="4" t="s">
        <v>105</v>
      </c>
      <c r="B91" s="4" t="s">
        <v>60</v>
      </c>
      <c r="C91" s="4" t="str">
        <f>A91&amp;"_"&amp;B91</f>
        <v>EC40_RB</v>
      </c>
      <c r="D91" s="4" t="s">
        <v>91</v>
      </c>
      <c r="E91" s="4"/>
      <c r="F91" s="4"/>
    </row>
    <row r="92" spans="1:6">
      <c r="A92" s="4" t="s">
        <v>56</v>
      </c>
      <c r="B92" s="4" t="s">
        <v>60</v>
      </c>
      <c r="C92" s="4" t="str">
        <f>A92&amp;"_"&amp;B92</f>
        <v>EX40_RB</v>
      </c>
      <c r="D92" s="4" t="s">
        <v>91</v>
      </c>
      <c r="E92" s="4"/>
      <c r="F92" s="4"/>
    </row>
    <row r="93" spans="1:6">
      <c r="A93" s="4" t="s">
        <v>89</v>
      </c>
      <c r="B93" s="4" t="s">
        <v>156</v>
      </c>
      <c r="C93" s="4" t="str">
        <f>A93&amp;"_"&amp;B93</f>
        <v>XC90_RC</v>
      </c>
      <c r="D93" s="4" t="s">
        <v>154</v>
      </c>
      <c r="E93" s="4"/>
      <c r="F93" s="4"/>
    </row>
    <row r="94" spans="1:6">
      <c r="A94" s="4" t="s">
        <v>85</v>
      </c>
      <c r="B94" s="4" t="s">
        <v>49</v>
      </c>
      <c r="C94" s="4" t="str">
        <f>A94&amp;"_"&amp;B94</f>
        <v>XC60_RE</v>
      </c>
      <c r="D94" s="4" t="s">
        <v>161</v>
      </c>
      <c r="E94" s="4"/>
      <c r="F94" s="4"/>
    </row>
    <row r="95" spans="1:6">
      <c r="A95" s="4" t="s">
        <v>85</v>
      </c>
      <c r="B95" s="4" t="s">
        <v>43</v>
      </c>
      <c r="C95" s="4" t="str">
        <f>A95&amp;"_"&amp;B95</f>
        <v>XC60_T2</v>
      </c>
      <c r="D95" s="4" t="s">
        <v>69</v>
      </c>
      <c r="E95" s="4"/>
      <c r="F95" s="4"/>
    </row>
    <row r="96" spans="1:6">
      <c r="A96" s="4" t="s">
        <v>85</v>
      </c>
      <c r="B96" s="4" t="s">
        <v>44</v>
      </c>
      <c r="C96" s="4" t="str">
        <f>A96&amp;"_"&amp;B96</f>
        <v>XC60_T3</v>
      </c>
      <c r="D96" s="4" t="s">
        <v>80</v>
      </c>
      <c r="E96" s="4"/>
      <c r="F96" s="4"/>
    </row>
    <row r="97" spans="1:6">
      <c r="A97" s="4" t="s">
        <v>85</v>
      </c>
      <c r="B97" s="4" t="s">
        <v>45</v>
      </c>
      <c r="C97" s="4" t="str">
        <f>A97&amp;"_"&amp;B97</f>
        <v>XC60_T7</v>
      </c>
      <c r="D97" s="4" t="s">
        <v>75</v>
      </c>
      <c r="E97" s="4"/>
      <c r="F97" s="4"/>
    </row>
    <row r="98" spans="1:6">
      <c r="A98" s="4" t="s">
        <v>85</v>
      </c>
      <c r="B98" s="4" t="s">
        <v>46</v>
      </c>
      <c r="C98" s="4" t="str">
        <f>A98&amp;"_"&amp;B98</f>
        <v>XC60_T8</v>
      </c>
      <c r="D98" s="4" t="s">
        <v>99</v>
      </c>
      <c r="E98" s="4"/>
      <c r="F98" s="4"/>
    </row>
    <row r="99" spans="1:6">
      <c r="A99" s="4" t="s">
        <v>85</v>
      </c>
      <c r="B99" s="4" t="s">
        <v>39</v>
      </c>
      <c r="C99" s="4" t="str">
        <f>A99&amp;"_"&amp;B99</f>
        <v>XC60_TA</v>
      </c>
      <c r="D99" s="4" t="s">
        <v>101</v>
      </c>
      <c r="E99" s="4"/>
      <c r="F99" s="4"/>
    </row>
    <row r="100" spans="1:6">
      <c r="A100" s="4" t="s">
        <v>85</v>
      </c>
      <c r="B100" s="4" t="s">
        <v>40</v>
      </c>
      <c r="C100" s="4" t="str">
        <f>A100&amp;"_"&amp;B100</f>
        <v>XC60_TD</v>
      </c>
      <c r="D100" s="4" t="s">
        <v>159</v>
      </c>
      <c r="E100" s="4"/>
      <c r="F100" s="4"/>
    </row>
    <row r="101" spans="1:6">
      <c r="A101" s="4" t="s">
        <v>85</v>
      </c>
      <c r="B101" s="4" t="s">
        <v>41</v>
      </c>
      <c r="C101" s="4" t="str">
        <f>A101&amp;"_"&amp;B101</f>
        <v>XC60_TE</v>
      </c>
      <c r="D101" s="4" t="s">
        <v>161</v>
      </c>
      <c r="E101" s="4"/>
      <c r="F101" s="4"/>
    </row>
    <row r="102" spans="1:6">
      <c r="A102" s="4" t="s">
        <v>85</v>
      </c>
      <c r="B102" s="4" t="s">
        <v>42</v>
      </c>
      <c r="C102" s="4" t="str">
        <f>A102&amp;"_"&amp;B102</f>
        <v>XC60_TR</v>
      </c>
      <c r="D102" s="4" t="s">
        <v>72</v>
      </c>
      <c r="E102" s="4"/>
      <c r="F102" s="4"/>
    </row>
    <row r="103" spans="1:6">
      <c r="A103" s="4" t="s">
        <v>63</v>
      </c>
      <c r="B103" s="4" t="s">
        <v>36</v>
      </c>
      <c r="C103" s="4" t="str">
        <f>A103&amp;"_"&amp;B103</f>
        <v>XC40_V5</v>
      </c>
      <c r="D103" s="4" t="s">
        <v>72</v>
      </c>
      <c r="E103" s="4"/>
      <c r="F103" s="4"/>
    </row>
    <row r="104" spans="1:6">
      <c r="A104" s="4" t="s">
        <v>85</v>
      </c>
      <c r="B104" s="4" t="s">
        <v>36</v>
      </c>
      <c r="C104" s="4" t="str">
        <f>A104&amp;"_"&amp;B104</f>
        <v>XC60_V5</v>
      </c>
      <c r="D104" s="4" t="s">
        <v>72</v>
      </c>
      <c r="E104" s="4"/>
      <c r="F104" s="4"/>
    </row>
    <row r="105" spans="1:6">
      <c r="A105" s="4" t="s">
        <v>76</v>
      </c>
      <c r="B105" s="4" t="s">
        <v>36</v>
      </c>
      <c r="C105" s="4" t="str">
        <f>A105&amp;"_"&amp;B105</f>
        <v>V60_V5</v>
      </c>
      <c r="D105" s="4" t="s">
        <v>72</v>
      </c>
      <c r="E105" s="4"/>
      <c r="F105" s="4"/>
    </row>
    <row r="106" spans="1:6">
      <c r="A106" s="4" t="s">
        <v>70</v>
      </c>
      <c r="B106" s="4" t="s">
        <v>36</v>
      </c>
      <c r="C106" s="4" t="str">
        <f>A106&amp;"_"&amp;B106</f>
        <v>S60_V5</v>
      </c>
      <c r="D106" s="4" t="s">
        <v>72</v>
      </c>
      <c r="E106" s="4"/>
      <c r="F106" s="4"/>
    </row>
    <row r="107" spans="1:6">
      <c r="A107" s="4" t="s">
        <v>95</v>
      </c>
      <c r="B107" s="4" t="s">
        <v>36</v>
      </c>
      <c r="C107" s="4" t="str">
        <f>A107&amp;"_"&amp;B107</f>
        <v>V90_V5</v>
      </c>
      <c r="D107" s="4" t="s">
        <v>72</v>
      </c>
      <c r="E107" s="4"/>
      <c r="F107" s="4"/>
    </row>
    <row r="108" spans="1:6">
      <c r="A108" s="4" t="s">
        <v>92</v>
      </c>
      <c r="B108" s="4" t="s">
        <v>36</v>
      </c>
      <c r="C108" s="4" t="str">
        <f>A108&amp;"_"&amp;B108</f>
        <v>S90_V5</v>
      </c>
      <c r="D108" s="4" t="s">
        <v>72</v>
      </c>
      <c r="E108" s="4"/>
      <c r="F108" s="4"/>
    </row>
    <row r="109" spans="1:6">
      <c r="A109" s="4" t="s">
        <v>89</v>
      </c>
      <c r="B109" s="4" t="s">
        <v>26</v>
      </c>
      <c r="C109" s="4" t="str">
        <f>A109&amp;"_"&amp;B109</f>
        <v>XC90_V7</v>
      </c>
      <c r="D109" s="4" t="s">
        <v>143</v>
      </c>
      <c r="E109" s="4"/>
      <c r="F109" s="4"/>
    </row>
    <row r="110" spans="1:6">
      <c r="A110" s="4" t="s">
        <v>85</v>
      </c>
      <c r="B110" s="4" t="s">
        <v>158</v>
      </c>
      <c r="C110" s="4" t="str">
        <f>A110&amp;"_"&amp;B110</f>
        <v>XC60_V9</v>
      </c>
      <c r="D110" s="4" t="s">
        <v>159</v>
      </c>
      <c r="E110" s="4"/>
      <c r="F110" s="4"/>
    </row>
    <row r="111" spans="1:6">
      <c r="A111" s="4" t="s">
        <v>63</v>
      </c>
      <c r="B111" s="4" t="s">
        <v>35</v>
      </c>
      <c r="C111" s="4" t="str">
        <f>A111&amp;"_"&amp;B111</f>
        <v>XC40_VA</v>
      </c>
      <c r="D111" s="4" t="s">
        <v>101</v>
      </c>
      <c r="E111" s="4"/>
      <c r="F111" s="4"/>
    </row>
    <row r="112" spans="1:6">
      <c r="A112" s="4" t="s">
        <v>85</v>
      </c>
      <c r="B112" s="4" t="s">
        <v>35</v>
      </c>
      <c r="C112" s="4" t="str">
        <f>A112&amp;"_"&amp;B112</f>
        <v>XC60_VA</v>
      </c>
      <c r="D112" s="4" t="s">
        <v>101</v>
      </c>
      <c r="E112" s="4"/>
      <c r="F112" s="4"/>
    </row>
    <row r="113" spans="1:6">
      <c r="A113" s="4" t="s">
        <v>76</v>
      </c>
      <c r="B113" s="4" t="s">
        <v>35</v>
      </c>
      <c r="C113" s="4" t="str">
        <f>A113&amp;"_"&amp;B113</f>
        <v>V60_VA</v>
      </c>
      <c r="D113" s="4" t="s">
        <v>101</v>
      </c>
      <c r="E113" s="4"/>
      <c r="F113" s="4"/>
    </row>
    <row r="114" spans="1:6">
      <c r="A114" s="4" t="s">
        <v>70</v>
      </c>
      <c r="B114" s="4" t="s">
        <v>35</v>
      </c>
      <c r="C114" s="4" t="str">
        <f>A114&amp;"_"&amp;B114</f>
        <v>S60_VA</v>
      </c>
      <c r="D114" s="4" t="s">
        <v>101</v>
      </c>
      <c r="E114" s="4"/>
      <c r="F114" s="4"/>
    </row>
    <row r="115" spans="1:6">
      <c r="A115" s="4" t="s">
        <v>95</v>
      </c>
      <c r="B115" s="4" t="s">
        <v>35</v>
      </c>
      <c r="C115" s="4" t="str">
        <f>A115&amp;"_"&amp;B115</f>
        <v>V90_VA</v>
      </c>
      <c r="D115" s="4" t="s">
        <v>101</v>
      </c>
      <c r="E115" s="4"/>
      <c r="F115" s="4"/>
    </row>
    <row r="116" spans="1:6">
      <c r="A116" s="4" t="s">
        <v>92</v>
      </c>
      <c r="B116" s="4" t="s">
        <v>35</v>
      </c>
      <c r="C116" s="4" t="str">
        <f>A116&amp;"_"&amp;B116</f>
        <v>S90_VA</v>
      </c>
      <c r="D116" s="4" t="s">
        <v>101</v>
      </c>
      <c r="E116" s="4"/>
      <c r="F116" s="4"/>
    </row>
    <row r="117" spans="1:6">
      <c r="A117" s="4" t="s">
        <v>89</v>
      </c>
      <c r="B117" s="4" t="s">
        <v>25</v>
      </c>
      <c r="C117" s="4" t="str">
        <f>A117&amp;"_"&amp;B117</f>
        <v>XC90_VC</v>
      </c>
      <c r="D117" s="4" t="s">
        <v>154</v>
      </c>
      <c r="E117" s="4"/>
      <c r="F117" s="4"/>
    </row>
    <row r="118" spans="1:6">
      <c r="A118" s="4" t="s">
        <v>85</v>
      </c>
      <c r="B118" s="4" t="s">
        <v>160</v>
      </c>
      <c r="C118" s="4" t="str">
        <f>A118&amp;"_"&amp;B118</f>
        <v>XC60_VE</v>
      </c>
      <c r="D118" s="4" t="s">
        <v>161</v>
      </c>
      <c r="E118" s="4"/>
      <c r="F118" s="4"/>
    </row>
  </sheetData>
  <sortState xmlns:xlrd2="http://schemas.microsoft.com/office/spreadsheetml/2017/richdata2" ref="A2:F118">
    <sortCondition ref="B2:B118"/>
  </sortState>
  <phoneticPr fontId="7" type="noConversion"/>
  <pageMargins left="0.7" right="0.7" top="0.78740157499999996" bottom="0.78740157499999996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D42C9D34BF39A4794CA637B9AC3663D" ma:contentTypeVersion="10" ma:contentTypeDescription="Ein neues Dokument erstellen." ma:contentTypeScope="" ma:versionID="9a57079068924de82d4016bbf8cee80d">
  <xsd:schema xmlns:xsd="http://www.w3.org/2001/XMLSchema" xmlns:xs="http://www.w3.org/2001/XMLSchema" xmlns:p="http://schemas.microsoft.com/office/2006/metadata/properties" xmlns:ns2="b41b9696-a04e-4287-b685-c3a6b802e153" xmlns:ns3="fc32978b-8609-42b2-902c-811f690b3225" targetNamespace="http://schemas.microsoft.com/office/2006/metadata/properties" ma:root="true" ma:fieldsID="8bb115670cb5ed45d7fabb24db7718b4" ns2:_="" ns3:_="">
    <xsd:import namespace="b41b9696-a04e-4287-b685-c3a6b802e153"/>
    <xsd:import namespace="fc32978b-8609-42b2-902c-811f690b322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1b9696-a04e-4287-b685-c3a6b802e15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ildmarkierungen" ma:readOnly="false" ma:fieldId="{5cf76f15-5ced-4ddc-b409-7134ff3c332f}" ma:taxonomyMulti="true" ma:sspId="70f575ab-cd0f-439a-9978-eda457400ce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32978b-8609-42b2-902c-811f690b3225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3019f7dc-20cc-4b5f-b2d2-bfce583401fe}" ma:internalName="TaxCatchAll" ma:showField="CatchAllData" ma:web="fc32978b-8609-42b2-902c-811f690b322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41b9696-a04e-4287-b685-c3a6b802e153">
      <Terms xmlns="http://schemas.microsoft.com/office/infopath/2007/PartnerControls"/>
    </lcf76f155ced4ddcb4097134ff3c332f>
    <TaxCatchAll xmlns="fc32978b-8609-42b2-902c-811f690b3225" xsi:nil="true"/>
  </documentManagement>
</p:properties>
</file>

<file path=customXml/itemProps1.xml><?xml version="1.0" encoding="utf-8"?>
<ds:datastoreItem xmlns:ds="http://schemas.openxmlformats.org/officeDocument/2006/customXml" ds:itemID="{F1266EDE-6536-42C0-B987-871304CA1094}"/>
</file>

<file path=customXml/itemProps2.xml><?xml version="1.0" encoding="utf-8"?>
<ds:datastoreItem xmlns:ds="http://schemas.openxmlformats.org/officeDocument/2006/customXml" ds:itemID="{BE42238F-7BCD-4303-9973-19BCE74EF71C}"/>
</file>

<file path=customXml/itemProps3.xml><?xml version="1.0" encoding="utf-8"?>
<ds:datastoreItem xmlns:ds="http://schemas.openxmlformats.org/officeDocument/2006/customXml" ds:itemID="{ADA026F7-D7FD-49B1-8CFE-2ED77C6491AE}"/>
</file>

<file path=docMetadata/LabelInfo.xml><?xml version="1.0" encoding="utf-8"?>
<clbl:labelList xmlns:clbl="http://schemas.microsoft.com/office/2020/mipLabelMetadata">
  <clbl:label id="{7fea2623-af8f-4fb8-b1cf-b63cc8e496aa}" enabled="1" method="Standard" siteId="{81fa766e-a349-4867-8bf4-ab35e250a08f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Volvo Car Corporation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Meschede, Marc</dc:creator>
  <cp:keywords/>
  <dc:description/>
  <cp:lastModifiedBy>Wahba, Hassan</cp:lastModifiedBy>
  <cp:revision/>
  <dcterms:created xsi:type="dcterms:W3CDTF">2015-11-06T14:14:39Z</dcterms:created>
  <dcterms:modified xsi:type="dcterms:W3CDTF">2024-01-29T11:31:17Z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ea2623-af8f-4fb8-b1cf-b63cc8e496aa_Enabled">
    <vt:lpwstr>True</vt:lpwstr>
  </property>
  <property fmtid="{D5CDD505-2E9C-101B-9397-08002B2CF9AE}" pid="3" name="MSIP_Label_7fea2623-af8f-4fb8-b1cf-b63cc8e496aa_SiteId">
    <vt:lpwstr>81fa766e-a349-4867-8bf4-ab35e250a08f</vt:lpwstr>
  </property>
  <property fmtid="{D5CDD505-2E9C-101B-9397-08002B2CF9AE}" pid="4" name="MSIP_Label_7fea2623-af8f-4fb8-b1cf-b63cc8e496aa_SetDate">
    <vt:lpwstr>2018-08-09T13:20:07.9903778Z</vt:lpwstr>
  </property>
  <property fmtid="{D5CDD505-2E9C-101B-9397-08002B2CF9AE}" pid="5" name="MSIP_Label_7fea2623-af8f-4fb8-b1cf-b63cc8e496aa_Name">
    <vt:lpwstr>Proprietary</vt:lpwstr>
  </property>
  <property fmtid="{D5CDD505-2E9C-101B-9397-08002B2CF9AE}" pid="6" name="MSIP_Label_7fea2623-af8f-4fb8-b1cf-b63cc8e496aa_Extended_MSFT_Method">
    <vt:lpwstr>Automatic</vt:lpwstr>
  </property>
  <property fmtid="{D5CDD505-2E9C-101B-9397-08002B2CF9AE}" pid="7" name="Sensitivity">
    <vt:lpwstr>Proprietary</vt:lpwstr>
  </property>
  <property fmtid="{D5CDD505-2E9C-101B-9397-08002B2CF9AE}" pid="8" name="ContentTypeId">
    <vt:lpwstr>0x010100ED42C9D34BF39A4794CA637B9AC3663D</vt:lpwstr>
  </property>
  <property fmtid="{D5CDD505-2E9C-101B-9397-08002B2CF9AE}" pid="9" name="TaxKeyword">
    <vt:lpwstr/>
  </property>
  <property fmtid="{D5CDD505-2E9C-101B-9397-08002B2CF9AE}" pid="10" name="MediaServiceImageTags">
    <vt:lpwstr/>
  </property>
  <property fmtid="{D5CDD505-2E9C-101B-9397-08002B2CF9AE}" pid="11" name="_ExtendedDescription">
    <vt:lpwstr/>
  </property>
</Properties>
</file>